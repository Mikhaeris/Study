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1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4.xml" ContentType="application/vnd.ms-office.activeX+xml"/>
  <Override PartName="/xl/drawings/drawing6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drawings/drawing8.xml" ContentType="application/vnd.openxmlformats-officedocument.drawing+xml"/>
  <Override PartName="/xl/activeX/activeX18.xml" ContentType="application/vnd.ms-office.activeX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0.xml" ContentType="application/vnd.openxmlformats-officedocument.drawing+xml"/>
  <Override PartName="/xl/activeX/activeX2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AF14DDFE-25E3-4404-86E8-25F5C247F81A}" xr6:coauthVersionLast="47" xr6:coauthVersionMax="47" xr10:uidLastSave="{00000000-0000-0000-0000-000000000000}"/>
  <bookViews>
    <workbookView xWindow="-110" yWindow="-110" windowWidth="19420" windowHeight="10420" firstSheet="4" activeTab="8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Продажи!$C$11:$H$310</definedName>
    <definedName name="Данные_поставок">Поставки!$C$11:$I$313</definedName>
    <definedName name="Данные_продаж">Продажи!$C$11:$H$310</definedName>
    <definedName name="_xlnm.Criteria" localSheetId="3">Продажи!$D$6:$H$7</definedName>
    <definedName name="Поставка">Поставки!$E$11:$I$313</definedName>
    <definedName name="Продажа">Продажи!$E$11:$H$310</definedName>
    <definedName name="Сотрудники">Сотрудники!$B$7:$H$14</definedName>
    <definedName name="Справочник_товары">Товары!$B$2:$H$8</definedName>
  </definedNames>
  <calcPr calcId="191029"/>
  <pivotCaches>
    <pivotCache cacheId="22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9" l="1"/>
  <c r="E313" i="6"/>
  <c r="G313" i="6"/>
  <c r="H313" i="6"/>
  <c r="I313" i="6"/>
  <c r="N6" i="9"/>
  <c r="N7" i="9"/>
  <c r="N8" i="9"/>
  <c r="N9" i="9"/>
  <c r="N10" i="9"/>
  <c r="N5" i="9"/>
  <c r="R8" i="9"/>
  <c r="Q8" i="9"/>
  <c r="B14" i="8" l="1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D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262" i="4"/>
  <c r="H262" i="4" s="1"/>
  <c r="G43" i="4"/>
  <c r="H43" i="4" s="1"/>
  <c r="G208" i="4"/>
  <c r="H208" i="4" s="1"/>
  <c r="G68" i="4"/>
  <c r="H68" i="4" s="1"/>
  <c r="G81" i="4"/>
  <c r="H81" i="4" s="1"/>
  <c r="G155" i="4"/>
  <c r="H155" i="4" s="1"/>
  <c r="G174" i="4"/>
  <c r="H174" i="4" s="1"/>
  <c r="G285" i="4"/>
  <c r="H285" i="4" s="1"/>
  <c r="G233" i="4"/>
  <c r="H233" i="4" s="1"/>
  <c r="G199" i="4"/>
  <c r="H199" i="4" s="1"/>
  <c r="G237" i="4"/>
  <c r="H237" i="4" s="1"/>
  <c r="G65" i="4"/>
  <c r="H65" i="4" s="1"/>
  <c r="G128" i="4"/>
  <c r="H128" i="4" s="1"/>
  <c r="G108" i="4"/>
  <c r="H108" i="4" s="1"/>
  <c r="G52" i="4"/>
  <c r="H52" i="4" s="1"/>
  <c r="G102" i="4"/>
  <c r="H102" i="4" s="1"/>
  <c r="G29" i="4"/>
  <c r="H29" i="4" s="1"/>
  <c r="G119" i="4"/>
  <c r="H119" i="4" s="1"/>
  <c r="G55" i="4"/>
  <c r="H55" i="4" s="1"/>
  <c r="G224" i="4"/>
  <c r="H224" i="4" s="1"/>
  <c r="G179" i="4"/>
  <c r="H179" i="4" s="1"/>
  <c r="G291" i="4"/>
  <c r="H291" i="4" s="1"/>
  <c r="G31" i="4"/>
  <c r="H31" i="4" s="1"/>
  <c r="G115" i="4"/>
  <c r="H115" i="4" s="1"/>
  <c r="G286" i="4"/>
  <c r="H286" i="4" s="1"/>
  <c r="G38" i="4"/>
  <c r="H38" i="4" s="1"/>
  <c r="G135" i="4"/>
  <c r="H135" i="4" s="1"/>
  <c r="G40" i="4"/>
  <c r="H40" i="4" s="1"/>
  <c r="G150" i="4"/>
  <c r="H150" i="4" s="1"/>
  <c r="G213" i="4"/>
  <c r="H213" i="4" s="1"/>
  <c r="G95" i="4"/>
  <c r="H95" i="4" s="1"/>
  <c r="G106" i="4"/>
  <c r="H106" i="4" s="1"/>
  <c r="G93" i="4"/>
  <c r="H93" i="4" s="1"/>
  <c r="G48" i="4"/>
  <c r="H48" i="4" s="1"/>
  <c r="G212" i="4"/>
  <c r="H212" i="4" s="1"/>
  <c r="G203" i="4"/>
  <c r="H203" i="4" s="1"/>
  <c r="G101" i="4"/>
  <c r="H101" i="4" s="1"/>
  <c r="G259" i="4"/>
  <c r="H259" i="4" s="1"/>
  <c r="G230" i="4"/>
  <c r="H230" i="4" s="1"/>
  <c r="G308" i="4"/>
  <c r="H308" i="4" s="1"/>
  <c r="G148" i="4"/>
  <c r="H148" i="4" s="1"/>
  <c r="G170" i="4"/>
  <c r="H170" i="4" s="1"/>
  <c r="G80" i="4"/>
  <c r="H80" i="4" s="1"/>
  <c r="G165" i="4"/>
  <c r="H165" i="4" s="1"/>
  <c r="G131" i="4"/>
  <c r="H131" i="4" s="1"/>
  <c r="G153" i="4"/>
  <c r="H153" i="4" s="1"/>
  <c r="G177" i="4"/>
  <c r="H177" i="4" s="1"/>
  <c r="G293" i="4"/>
  <c r="H293" i="4" s="1"/>
  <c r="G190" i="4"/>
  <c r="H190" i="4" s="1"/>
  <c r="G242" i="4"/>
  <c r="H242" i="4" s="1"/>
  <c r="G17" i="4"/>
  <c r="H17" i="4" s="1"/>
  <c r="G46" i="4"/>
  <c r="H46" i="4" s="1"/>
  <c r="G192" i="4"/>
  <c r="H192" i="4" s="1"/>
  <c r="G164" i="4"/>
  <c r="H164" i="4" s="1"/>
  <c r="G97" i="4"/>
  <c r="H97" i="4" s="1"/>
  <c r="G306" i="4"/>
  <c r="H306" i="4" s="1"/>
  <c r="G167" i="4"/>
  <c r="H167" i="4" s="1"/>
  <c r="G295" i="4"/>
  <c r="H295" i="4" s="1"/>
  <c r="G280" i="4"/>
  <c r="H280" i="4" s="1"/>
  <c r="G206" i="4"/>
  <c r="H206" i="4" s="1"/>
  <c r="G56" i="4"/>
  <c r="H56" i="4" s="1"/>
  <c r="G147" i="4"/>
  <c r="H147" i="4" s="1"/>
  <c r="G236" i="4"/>
  <c r="H236" i="4" s="1"/>
  <c r="G142" i="4"/>
  <c r="H142" i="4" s="1"/>
  <c r="G241" i="4"/>
  <c r="H241" i="4" s="1"/>
  <c r="G12" i="4"/>
  <c r="H12" i="4" s="1"/>
  <c r="G92" i="4"/>
  <c r="H92" i="4" s="1"/>
  <c r="G71" i="4"/>
  <c r="H71" i="4" s="1"/>
  <c r="G15" i="4"/>
  <c r="H15" i="4" s="1"/>
  <c r="G133" i="4"/>
  <c r="H133" i="4" s="1"/>
  <c r="G86" i="4"/>
  <c r="H86" i="4" s="1"/>
  <c r="G191" i="4"/>
  <c r="H191" i="4" s="1"/>
  <c r="G255" i="4"/>
  <c r="H255" i="4" s="1"/>
  <c r="G14" i="4"/>
  <c r="H14" i="4" s="1"/>
  <c r="G141" i="4"/>
  <c r="H141" i="4" s="1"/>
  <c r="G238" i="4"/>
  <c r="H238" i="4" s="1"/>
  <c r="G201" i="4"/>
  <c r="H201" i="4" s="1"/>
  <c r="G268" i="4"/>
  <c r="H268" i="4" s="1"/>
  <c r="G218" i="4"/>
  <c r="H218" i="4" s="1"/>
  <c r="G110" i="4"/>
  <c r="H110" i="4" s="1"/>
  <c r="G124" i="4"/>
  <c r="H124" i="4" s="1"/>
  <c r="G272" i="4"/>
  <c r="H272" i="4" s="1"/>
  <c r="G265" i="4"/>
  <c r="H265" i="4" s="1"/>
  <c r="G74" i="4"/>
  <c r="H74" i="4" s="1"/>
  <c r="G37" i="4"/>
  <c r="H37" i="4" s="1"/>
  <c r="G273" i="4"/>
  <c r="H273" i="4" s="1"/>
  <c r="G232" i="4"/>
  <c r="H232" i="4" s="1"/>
  <c r="G277" i="4"/>
  <c r="H277" i="4" s="1"/>
  <c r="G290" i="4"/>
  <c r="H290" i="4" s="1"/>
  <c r="G168" i="4"/>
  <c r="H168" i="4" s="1"/>
  <c r="G33" i="4"/>
  <c r="H33" i="4" s="1"/>
  <c r="G219" i="4"/>
  <c r="H219" i="4" s="1"/>
  <c r="G23" i="4"/>
  <c r="H23" i="4" s="1"/>
  <c r="G249" i="4"/>
  <c r="H249" i="4" s="1"/>
  <c r="G122" i="4"/>
  <c r="H122" i="4" s="1"/>
  <c r="G158" i="4"/>
  <c r="H158" i="4" s="1"/>
  <c r="G182" i="4"/>
  <c r="H182" i="4" s="1"/>
  <c r="G281" i="4"/>
  <c r="H281" i="4" s="1"/>
  <c r="G140" i="4"/>
  <c r="H140" i="4" s="1"/>
  <c r="G256" i="4"/>
  <c r="H256" i="4" s="1"/>
  <c r="G61" i="4"/>
  <c r="H61" i="4" s="1"/>
  <c r="G288" i="4"/>
  <c r="H288" i="4" s="1"/>
  <c r="G27" i="4"/>
  <c r="H27" i="4" s="1"/>
  <c r="G186" i="4"/>
  <c r="H186" i="4" s="1"/>
  <c r="G310" i="4"/>
  <c r="H310" i="4" s="1"/>
  <c r="G121" i="4"/>
  <c r="H121" i="4" s="1"/>
  <c r="G188" i="4"/>
  <c r="H188" i="4" s="1"/>
  <c r="G252" i="4"/>
  <c r="H252" i="4" s="1"/>
  <c r="G184" i="4"/>
  <c r="H184" i="4" s="1"/>
  <c r="G73" i="4"/>
  <c r="H73" i="4" s="1"/>
  <c r="G278" i="4"/>
  <c r="H278" i="4" s="1"/>
  <c r="G197" i="4"/>
  <c r="H197" i="4" s="1"/>
  <c r="G57" i="4"/>
  <c r="H57" i="4" s="1"/>
  <c r="G20" i="4"/>
  <c r="H20" i="4" s="1"/>
  <c r="G181" i="4"/>
  <c r="H181" i="4" s="1"/>
  <c r="G117" i="4"/>
  <c r="H117" i="4" s="1"/>
  <c r="G70" i="4"/>
  <c r="H70" i="4" s="1"/>
  <c r="G173" i="4"/>
  <c r="H173" i="4" s="1"/>
  <c r="G67" i="4"/>
  <c r="H67" i="4" s="1"/>
  <c r="G279" i="4"/>
  <c r="H279" i="4" s="1"/>
  <c r="G302" i="4"/>
  <c r="H302" i="4" s="1"/>
  <c r="G220" i="4"/>
  <c r="H220" i="4" s="1"/>
  <c r="G152" i="4"/>
  <c r="H152" i="4" s="1"/>
  <c r="G159" i="4"/>
  <c r="H159" i="4" s="1"/>
  <c r="G166" i="4"/>
  <c r="H166" i="4" s="1"/>
  <c r="G82" i="4"/>
  <c r="H82" i="4" s="1"/>
  <c r="G63" i="4"/>
  <c r="H63" i="4" s="1"/>
  <c r="G209" i="4"/>
  <c r="H209" i="4" s="1"/>
  <c r="G13" i="4"/>
  <c r="H13" i="4" s="1"/>
  <c r="G292" i="4"/>
  <c r="H292" i="4" s="1"/>
  <c r="G183" i="4"/>
  <c r="H183" i="4" s="1"/>
  <c r="G305" i="4"/>
  <c r="H305" i="4" s="1"/>
  <c r="G18" i="4"/>
  <c r="H18" i="4" s="1"/>
  <c r="G223" i="4"/>
  <c r="H223" i="4" s="1"/>
  <c r="G172" i="4"/>
  <c r="H172" i="4" s="1"/>
  <c r="G123" i="4"/>
  <c r="H123" i="4" s="1"/>
  <c r="G91" i="4"/>
  <c r="H91" i="4" s="1"/>
  <c r="G77" i="4"/>
  <c r="H77" i="4" s="1"/>
  <c r="G215" i="4"/>
  <c r="H215" i="4" s="1"/>
  <c r="G214" i="4"/>
  <c r="H214" i="4" s="1"/>
  <c r="G26" i="4"/>
  <c r="H26" i="4" s="1"/>
  <c r="G194" i="4"/>
  <c r="H194" i="4" s="1"/>
  <c r="G276" i="4"/>
  <c r="H276" i="4" s="1"/>
  <c r="G296" i="4"/>
  <c r="H296" i="4" s="1"/>
  <c r="G76" i="4"/>
  <c r="H76" i="4" s="1"/>
  <c r="G54" i="4"/>
  <c r="H54" i="4" s="1"/>
  <c r="G50" i="4"/>
  <c r="H50" i="4" s="1"/>
  <c r="G202" i="4"/>
  <c r="H202" i="4" s="1"/>
  <c r="G162" i="4"/>
  <c r="H162" i="4" s="1"/>
  <c r="G245" i="4"/>
  <c r="H245" i="4" s="1"/>
  <c r="G235" i="4"/>
  <c r="H235" i="4" s="1"/>
  <c r="G289" i="4"/>
  <c r="H289" i="4" s="1"/>
  <c r="G21" i="4"/>
  <c r="H21" i="4" s="1"/>
  <c r="G287" i="4"/>
  <c r="H287" i="4" s="1"/>
  <c r="G51" i="4"/>
  <c r="H51" i="4" s="1"/>
  <c r="G195" i="4"/>
  <c r="H195" i="4" s="1"/>
  <c r="G250" i="4"/>
  <c r="H250" i="4" s="1"/>
  <c r="G78" i="4"/>
  <c r="H78" i="4" s="1"/>
  <c r="G207" i="4"/>
  <c r="H207" i="4" s="1"/>
  <c r="G226" i="4"/>
  <c r="H226" i="4" s="1"/>
  <c r="G261" i="4"/>
  <c r="H261" i="4" s="1"/>
  <c r="G247" i="4"/>
  <c r="H247" i="4" s="1"/>
  <c r="G303" i="4"/>
  <c r="H303" i="4" s="1"/>
  <c r="G30" i="4"/>
  <c r="H30" i="4" s="1"/>
  <c r="G47" i="4"/>
  <c r="H47" i="4" s="1"/>
  <c r="G187" i="4"/>
  <c r="H187" i="4" s="1"/>
  <c r="G83" i="4"/>
  <c r="H83" i="4" s="1"/>
  <c r="G16" i="4"/>
  <c r="H16" i="4" s="1"/>
  <c r="G270" i="4"/>
  <c r="H270" i="4" s="1"/>
  <c r="G24" i="4"/>
  <c r="H24" i="4" s="1"/>
  <c r="G229" i="4"/>
  <c r="H229" i="4" s="1"/>
  <c r="G264" i="4"/>
  <c r="H264" i="4" s="1"/>
  <c r="G178" i="4"/>
  <c r="H178" i="4" s="1"/>
  <c r="G87" i="4"/>
  <c r="H87" i="4" s="1"/>
  <c r="G112" i="4"/>
  <c r="H112" i="4" s="1"/>
  <c r="G254" i="4"/>
  <c r="H254" i="4" s="1"/>
  <c r="G75" i="4"/>
  <c r="H75" i="4" s="1"/>
  <c r="G22" i="4"/>
  <c r="H22" i="4" s="1"/>
  <c r="G227" i="4"/>
  <c r="H227" i="4" s="1"/>
  <c r="G146" i="4"/>
  <c r="H146" i="4" s="1"/>
  <c r="G58" i="4"/>
  <c r="H58" i="4" s="1"/>
  <c r="G204" i="4"/>
  <c r="H204" i="4" s="1"/>
  <c r="G180" i="4"/>
  <c r="H180" i="4" s="1"/>
  <c r="G200" i="4"/>
  <c r="H200" i="4" s="1"/>
  <c r="G304" i="4"/>
  <c r="H304" i="4" s="1"/>
  <c r="G129" i="4"/>
  <c r="H129" i="4" s="1"/>
  <c r="G309" i="4"/>
  <c r="H309" i="4" s="1"/>
  <c r="G217" i="4"/>
  <c r="H217" i="4" s="1"/>
  <c r="G266" i="4"/>
  <c r="H266" i="4" s="1"/>
  <c r="G90" i="4"/>
  <c r="H90" i="4" s="1"/>
  <c r="G36" i="4"/>
  <c r="H36" i="4" s="1"/>
  <c r="G216" i="4"/>
  <c r="H216" i="4" s="1"/>
  <c r="G157" i="4"/>
  <c r="H157" i="4" s="1"/>
  <c r="G145" i="4"/>
  <c r="H145" i="4" s="1"/>
  <c r="G28" i="4"/>
  <c r="H28" i="4" s="1"/>
  <c r="G271" i="4"/>
  <c r="H271" i="4" s="1"/>
  <c r="G100" i="4"/>
  <c r="H100" i="4" s="1"/>
  <c r="G127" i="4"/>
  <c r="H127" i="4" s="1"/>
  <c r="G299" i="4"/>
  <c r="H299" i="4" s="1"/>
  <c r="G243" i="4"/>
  <c r="H243" i="4" s="1"/>
  <c r="G88" i="4"/>
  <c r="H88" i="4" s="1"/>
  <c r="G221" i="4"/>
  <c r="H221" i="4" s="1"/>
  <c r="G64" i="4"/>
  <c r="H64" i="4" s="1"/>
  <c r="G72" i="4"/>
  <c r="H72" i="4" s="1"/>
  <c r="G161" i="4"/>
  <c r="H161" i="4" s="1"/>
  <c r="G116" i="4"/>
  <c r="H116" i="4" s="1"/>
  <c r="G35" i="4"/>
  <c r="H35" i="4" s="1"/>
  <c r="G156" i="4"/>
  <c r="H156" i="4" s="1"/>
  <c r="G160" i="4"/>
  <c r="H160" i="4" s="1"/>
  <c r="G171" i="4"/>
  <c r="H171" i="4" s="1"/>
  <c r="G257" i="4"/>
  <c r="H257" i="4" s="1"/>
  <c r="G244" i="4"/>
  <c r="H244" i="4" s="1"/>
  <c r="G66" i="4"/>
  <c r="H66" i="4" s="1"/>
  <c r="G234" i="4"/>
  <c r="H234" i="4" s="1"/>
  <c r="G189" i="4"/>
  <c r="H189" i="4" s="1"/>
  <c r="G111" i="4"/>
  <c r="H111" i="4" s="1"/>
  <c r="G196" i="4"/>
  <c r="H196" i="4" s="1"/>
  <c r="G193" i="4"/>
  <c r="H193" i="4" s="1"/>
  <c r="G260" i="4"/>
  <c r="H260" i="4" s="1"/>
  <c r="G49" i="4"/>
  <c r="H49" i="4" s="1"/>
  <c r="G118" i="4"/>
  <c r="H118" i="4" s="1"/>
  <c r="G228" i="4"/>
  <c r="H228" i="4" s="1"/>
  <c r="G39" i="4"/>
  <c r="H39" i="4" s="1"/>
  <c r="G163" i="4"/>
  <c r="H163" i="4" s="1"/>
  <c r="G301" i="4"/>
  <c r="H301" i="4" s="1"/>
  <c r="G32" i="4"/>
  <c r="H32" i="4" s="1"/>
  <c r="G125" i="4"/>
  <c r="H125" i="4" s="1"/>
  <c r="G205" i="4"/>
  <c r="H205" i="4" s="1"/>
  <c r="G89" i="4"/>
  <c r="H89" i="4" s="1"/>
  <c r="G34" i="4"/>
  <c r="H34" i="4" s="1"/>
  <c r="G284" i="4"/>
  <c r="H284" i="4" s="1"/>
  <c r="G269" i="4"/>
  <c r="H269" i="4" s="1"/>
  <c r="G99" i="4"/>
  <c r="H99" i="4" s="1"/>
  <c r="G294" i="4"/>
  <c r="H294" i="4" s="1"/>
  <c r="G138" i="4"/>
  <c r="H138" i="4" s="1"/>
  <c r="G137" i="4"/>
  <c r="H137" i="4" s="1"/>
  <c r="G149" i="4"/>
  <c r="H149" i="4" s="1"/>
  <c r="G251" i="4"/>
  <c r="H251" i="4" s="1"/>
  <c r="G41" i="4"/>
  <c r="H41" i="4" s="1"/>
  <c r="G246" i="4"/>
  <c r="H246" i="4" s="1"/>
  <c r="G151" i="4"/>
  <c r="H151" i="4" s="1"/>
  <c r="G60" i="4"/>
  <c r="H60" i="4" s="1"/>
  <c r="G253" i="4"/>
  <c r="H253" i="4" s="1"/>
  <c r="G107" i="4"/>
  <c r="H107" i="4" s="1"/>
  <c r="G105" i="4"/>
  <c r="H105" i="4" s="1"/>
  <c r="G109" i="4"/>
  <c r="H109" i="4" s="1"/>
  <c r="G114" i="4"/>
  <c r="H114" i="4" s="1"/>
  <c r="G84" i="4"/>
  <c r="H84" i="4" s="1"/>
  <c r="G175" i="4"/>
  <c r="H175" i="4" s="1"/>
  <c r="G96" i="4"/>
  <c r="H96" i="4" s="1"/>
  <c r="G282" i="4"/>
  <c r="H282" i="4" s="1"/>
  <c r="G79" i="4"/>
  <c r="H79" i="4" s="1"/>
  <c r="G298" i="4"/>
  <c r="H298" i="4" s="1"/>
  <c r="G143" i="4"/>
  <c r="H143" i="4" s="1"/>
  <c r="G19" i="4"/>
  <c r="H19" i="4" s="1"/>
  <c r="G169" i="4"/>
  <c r="H169" i="4" s="1"/>
  <c r="G275" i="4"/>
  <c r="H275" i="4" s="1"/>
  <c r="G53" i="4"/>
  <c r="H53" i="4" s="1"/>
  <c r="G120" i="4"/>
  <c r="H120" i="4" s="1"/>
  <c r="G130" i="4"/>
  <c r="H130" i="4" s="1"/>
  <c r="G139" i="4"/>
  <c r="H139" i="4" s="1"/>
  <c r="G239" i="4"/>
  <c r="H239" i="4" s="1"/>
  <c r="G267" i="4"/>
  <c r="H267" i="4" s="1"/>
  <c r="G69" i="4"/>
  <c r="H69" i="4" s="1"/>
  <c r="G248" i="4"/>
  <c r="H248" i="4" s="1"/>
  <c r="G103" i="4"/>
  <c r="H103" i="4" s="1"/>
  <c r="G134" i="4"/>
  <c r="H134" i="4" s="1"/>
  <c r="G25" i="4"/>
  <c r="H25" i="4" s="1"/>
  <c r="G136" i="4"/>
  <c r="H136" i="4" s="1"/>
  <c r="G85" i="4"/>
  <c r="H85" i="4" s="1"/>
  <c r="G144" i="4"/>
  <c r="H144" i="4" s="1"/>
  <c r="G283" i="4"/>
  <c r="H283" i="4" s="1"/>
  <c r="G274" i="4"/>
  <c r="H274" i="4" s="1"/>
  <c r="G176" i="4"/>
  <c r="H176" i="4" s="1"/>
  <c r="G104" i="4"/>
  <c r="H104" i="4" s="1"/>
  <c r="G98" i="4"/>
  <c r="H98" i="4" s="1"/>
  <c r="G198" i="4"/>
  <c r="H198" i="4" s="1"/>
  <c r="G45" i="4"/>
  <c r="H45" i="4" s="1"/>
  <c r="G240" i="4"/>
  <c r="H240" i="4" s="1"/>
  <c r="G113" i="4"/>
  <c r="H113" i="4" s="1"/>
  <c r="G185" i="4"/>
  <c r="H185" i="4" s="1"/>
  <c r="G307" i="4"/>
  <c r="H307" i="4" s="1"/>
  <c r="G132" i="4"/>
  <c r="H132" i="4" s="1"/>
  <c r="G263" i="4"/>
  <c r="H263" i="4" s="1"/>
  <c r="G225" i="4"/>
  <c r="H225" i="4" s="1"/>
  <c r="G42" i="4"/>
  <c r="H42" i="4" s="1"/>
  <c r="G210" i="4"/>
  <c r="H210" i="4" s="1"/>
  <c r="G44" i="4"/>
  <c r="H44" i="4" s="1"/>
  <c r="G300" i="4"/>
  <c r="H300" i="4" s="1"/>
  <c r="G94" i="4"/>
  <c r="H94" i="4" s="1"/>
  <c r="G231" i="4"/>
  <c r="H231" i="4" s="1"/>
  <c r="G222" i="4"/>
  <c r="H222" i="4" s="1"/>
  <c r="G258" i="4"/>
  <c r="H258" i="4" s="1"/>
  <c r="G62" i="4"/>
  <c r="H62" i="4" s="1"/>
  <c r="G297" i="4"/>
  <c r="H297" i="4" s="1"/>
  <c r="G211" i="4"/>
  <c r="H211" i="4" s="1"/>
  <c r="G126" i="4"/>
  <c r="H126" i="4" s="1"/>
  <c r="G154" i="4"/>
  <c r="H154" i="4" s="1"/>
  <c r="G59" i="4"/>
  <c r="H59" i="4" s="1"/>
  <c r="E59" i="4"/>
  <c r="E262" i="4"/>
  <c r="E43" i="4"/>
  <c r="E208" i="4"/>
  <c r="E68" i="4"/>
  <c r="E81" i="4"/>
  <c r="E155" i="4"/>
  <c r="E174" i="4"/>
  <c r="E285" i="4"/>
  <c r="E233" i="4"/>
  <c r="E199" i="4"/>
  <c r="E237" i="4"/>
  <c r="E65" i="4"/>
  <c r="E128" i="4"/>
  <c r="E108" i="4"/>
  <c r="E52" i="4"/>
  <c r="E102" i="4"/>
  <c r="E29" i="4"/>
  <c r="E119" i="4"/>
  <c r="E55" i="4"/>
  <c r="E224" i="4"/>
  <c r="E179" i="4"/>
  <c r="E291" i="4"/>
  <c r="E31" i="4"/>
  <c r="E115" i="4"/>
  <c r="E286" i="4"/>
  <c r="E38" i="4"/>
  <c r="E135" i="4"/>
  <c r="E40" i="4"/>
  <c r="E150" i="4"/>
  <c r="E213" i="4"/>
  <c r="E95" i="4"/>
  <c r="E106" i="4"/>
  <c r="E93" i="4"/>
  <c r="E48" i="4"/>
  <c r="E212" i="4"/>
  <c r="E203" i="4"/>
  <c r="E101" i="4"/>
  <c r="E259" i="4"/>
  <c r="E230" i="4"/>
  <c r="E308" i="4"/>
  <c r="E148" i="4"/>
  <c r="E170" i="4"/>
  <c r="E80" i="4"/>
  <c r="E165" i="4"/>
  <c r="E131" i="4"/>
  <c r="E153" i="4"/>
  <c r="E177" i="4"/>
  <c r="E293" i="4"/>
  <c r="E190" i="4"/>
  <c r="E242" i="4"/>
  <c r="E17" i="4"/>
  <c r="E46" i="4"/>
  <c r="E192" i="4"/>
  <c r="E164" i="4"/>
  <c r="E97" i="4"/>
  <c r="E306" i="4"/>
  <c r="E167" i="4"/>
  <c r="E295" i="4"/>
  <c r="E280" i="4"/>
  <c r="E206" i="4"/>
  <c r="E56" i="4"/>
  <c r="E147" i="4"/>
  <c r="E236" i="4"/>
  <c r="E142" i="4"/>
  <c r="E241" i="4"/>
  <c r="E12" i="4"/>
  <c r="E92" i="4"/>
  <c r="E71" i="4"/>
  <c r="E15" i="4"/>
  <c r="E133" i="4"/>
  <c r="E86" i="4"/>
  <c r="E191" i="4"/>
  <c r="E255" i="4"/>
  <c r="E14" i="4"/>
  <c r="E141" i="4"/>
  <c r="E238" i="4"/>
  <c r="E201" i="4"/>
  <c r="E268" i="4"/>
  <c r="E218" i="4"/>
  <c r="E110" i="4"/>
  <c r="E124" i="4"/>
  <c r="E272" i="4"/>
  <c r="E265" i="4"/>
  <c r="E74" i="4"/>
  <c r="E37" i="4"/>
  <c r="E273" i="4"/>
  <c r="E232" i="4"/>
  <c r="E277" i="4"/>
  <c r="E290" i="4"/>
  <c r="E168" i="4"/>
  <c r="E33" i="4"/>
  <c r="E219" i="4"/>
  <c r="E23" i="4"/>
  <c r="E249" i="4"/>
  <c r="E122" i="4"/>
  <c r="E158" i="4"/>
  <c r="E182" i="4"/>
  <c r="E281" i="4"/>
  <c r="E140" i="4"/>
  <c r="E256" i="4"/>
  <c r="E61" i="4"/>
  <c r="E288" i="4"/>
  <c r="E27" i="4"/>
  <c r="E186" i="4"/>
  <c r="E310" i="4"/>
  <c r="E121" i="4"/>
  <c r="E188" i="4"/>
  <c r="E252" i="4"/>
  <c r="E184" i="4"/>
  <c r="E73" i="4"/>
  <c r="E278" i="4"/>
  <c r="E197" i="4"/>
  <c r="E57" i="4"/>
  <c r="E20" i="4"/>
  <c r="E181" i="4"/>
  <c r="E117" i="4"/>
  <c r="E70" i="4"/>
  <c r="E173" i="4"/>
  <c r="E67" i="4"/>
  <c r="E279" i="4"/>
  <c r="E302" i="4"/>
  <c r="E220" i="4"/>
  <c r="E152" i="4"/>
  <c r="E159" i="4"/>
  <c r="E166" i="4"/>
  <c r="E82" i="4"/>
  <c r="E63" i="4"/>
  <c r="E209" i="4"/>
  <c r="E13" i="4"/>
  <c r="E292" i="4"/>
  <c r="E183" i="4"/>
  <c r="E305" i="4"/>
  <c r="E18" i="4"/>
  <c r="E223" i="4"/>
  <c r="E172" i="4"/>
  <c r="E123" i="4"/>
  <c r="E91" i="4"/>
  <c r="E77" i="4"/>
  <c r="E215" i="4"/>
  <c r="E214" i="4"/>
  <c r="E26" i="4"/>
  <c r="E194" i="4"/>
  <c r="E276" i="4"/>
  <c r="E296" i="4"/>
  <c r="E76" i="4"/>
  <c r="E54" i="4"/>
  <c r="E50" i="4"/>
  <c r="E202" i="4"/>
  <c r="E162" i="4"/>
  <c r="E245" i="4"/>
  <c r="E235" i="4"/>
  <c r="E289" i="4"/>
  <c r="E21" i="4"/>
  <c r="E287" i="4"/>
  <c r="E51" i="4"/>
  <c r="E195" i="4"/>
  <c r="E250" i="4"/>
  <c r="E78" i="4"/>
  <c r="E207" i="4"/>
  <c r="E226" i="4"/>
  <c r="E261" i="4"/>
  <c r="E247" i="4"/>
  <c r="E303" i="4"/>
  <c r="E30" i="4"/>
  <c r="E47" i="4"/>
  <c r="E187" i="4"/>
  <c r="E83" i="4"/>
  <c r="E16" i="4"/>
  <c r="E270" i="4"/>
  <c r="E24" i="4"/>
  <c r="E229" i="4"/>
  <c r="E264" i="4"/>
  <c r="E178" i="4"/>
  <c r="E87" i="4"/>
  <c r="E112" i="4"/>
  <c r="E254" i="4"/>
  <c r="E75" i="4"/>
  <c r="E22" i="4"/>
  <c r="E227" i="4"/>
  <c r="E146" i="4"/>
  <c r="E58" i="4"/>
  <c r="E204" i="4"/>
  <c r="E180" i="4"/>
  <c r="E200" i="4"/>
  <c r="E304" i="4"/>
  <c r="E129" i="4"/>
  <c r="E309" i="4"/>
  <c r="E217" i="4"/>
  <c r="E266" i="4"/>
  <c r="E90" i="4"/>
  <c r="E36" i="4"/>
  <c r="E216" i="4"/>
  <c r="E157" i="4"/>
  <c r="E145" i="4"/>
  <c r="E28" i="4"/>
  <c r="E271" i="4"/>
  <c r="E100" i="4"/>
  <c r="E127" i="4"/>
  <c r="E299" i="4"/>
  <c r="E243" i="4"/>
  <c r="E88" i="4"/>
  <c r="E221" i="4"/>
  <c r="E64" i="4"/>
  <c r="E72" i="4"/>
  <c r="E161" i="4"/>
  <c r="E116" i="4"/>
  <c r="E35" i="4"/>
  <c r="E156" i="4"/>
  <c r="E160" i="4"/>
  <c r="E171" i="4"/>
  <c r="E257" i="4"/>
  <c r="E244" i="4"/>
  <c r="E66" i="4"/>
  <c r="E234" i="4"/>
  <c r="E189" i="4"/>
  <c r="E111" i="4"/>
  <c r="E196" i="4"/>
  <c r="E193" i="4"/>
  <c r="E260" i="4"/>
  <c r="E49" i="4"/>
  <c r="E118" i="4"/>
  <c r="E228" i="4"/>
  <c r="E39" i="4"/>
  <c r="E163" i="4"/>
  <c r="E301" i="4"/>
  <c r="E32" i="4"/>
  <c r="E125" i="4"/>
  <c r="E205" i="4"/>
  <c r="E89" i="4"/>
  <c r="E34" i="4"/>
  <c r="E284" i="4"/>
  <c r="E269" i="4"/>
  <c r="E99" i="4"/>
  <c r="E294" i="4"/>
  <c r="E138" i="4"/>
  <c r="E137" i="4"/>
  <c r="E149" i="4"/>
  <c r="E251" i="4"/>
  <c r="E41" i="4"/>
  <c r="E246" i="4"/>
  <c r="E151" i="4"/>
  <c r="E60" i="4"/>
  <c r="E253" i="4"/>
  <c r="E107" i="4"/>
  <c r="E105" i="4"/>
  <c r="E109" i="4"/>
  <c r="E114" i="4"/>
  <c r="E84" i="4"/>
  <c r="E175" i="4"/>
  <c r="E96" i="4"/>
  <c r="E282" i="4"/>
  <c r="E79" i="4"/>
  <c r="E298" i="4"/>
  <c r="E143" i="4"/>
  <c r="E19" i="4"/>
  <c r="E169" i="4"/>
  <c r="E275" i="4"/>
  <c r="E53" i="4"/>
  <c r="E120" i="4"/>
  <c r="E130" i="4"/>
  <c r="E139" i="4"/>
  <c r="E239" i="4"/>
  <c r="E267" i="4"/>
  <c r="E69" i="4"/>
  <c r="E248" i="4"/>
  <c r="E103" i="4"/>
  <c r="E134" i="4"/>
  <c r="E25" i="4"/>
  <c r="E136" i="4"/>
  <c r="E85" i="4"/>
  <c r="E144" i="4"/>
  <c r="E283" i="4"/>
  <c r="E274" i="4"/>
  <c r="E176" i="4"/>
  <c r="E104" i="4"/>
  <c r="E98" i="4"/>
  <c r="E198" i="4"/>
  <c r="E45" i="4"/>
  <c r="E240" i="4"/>
  <c r="E113" i="4"/>
  <c r="E185" i="4"/>
  <c r="E307" i="4"/>
  <c r="E132" i="4"/>
  <c r="E263" i="4"/>
  <c r="E225" i="4"/>
  <c r="E42" i="4"/>
  <c r="E210" i="4"/>
  <c r="E44" i="4"/>
  <c r="E300" i="4"/>
  <c r="E94" i="4"/>
  <c r="E231" i="4"/>
  <c r="E222" i="4"/>
  <c r="E258" i="4"/>
  <c r="E62" i="4"/>
  <c r="E297" i="4"/>
  <c r="E211" i="4"/>
  <c r="E126" i="4"/>
  <c r="E154" i="4"/>
</calcChain>
</file>

<file path=xl/sharedStrings.xml><?xml version="1.0" encoding="utf-8"?>
<sst xmlns="http://schemas.openxmlformats.org/spreadsheetml/2006/main" count="139" uniqueCount="83">
  <si>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</si>
  <si>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</si>
  <si>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</si>
  <si>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</si>
  <si>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</si>
  <si>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</si>
  <si>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</si>
  <si>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</si>
  <si>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</si>
  <si>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</si>
  <si>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</si>
  <si>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</si>
  <si>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</si>
  <si>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</si>
  <si>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</si>
  <si>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</si>
  <si>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</si>
  <si>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</si>
  <si>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</si>
  <si>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</si>
  <si>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</si>
  <si>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</si>
  <si>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</si>
  <si>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</si>
  <si>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</si>
  <si>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</si>
  <si>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</si>
  <si>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</si>
  <si>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</si>
  <si>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</si>
  <si>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</si>
  <si>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</si>
  <si>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</si>
  <si>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</si>
  <si>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</si>
  <si>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</si>
  <si>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</si>
  <si>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</si>
  <si>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</si>
  <si>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</si>
  <si>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</si>
  <si>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</si>
  <si>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</si>
  <si>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</si>
  <si>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</si>
  <si>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</si>
  <si>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</si>
  <si>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</si>
  <si>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</si>
  <si>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</si>
  <si>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</si>
  <si>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</si>
  <si>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</si>
  <si>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</si>
  <si>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</si>
  <si>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</si>
  <si>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</si>
  <si>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</si>
  <si>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</si>
  <si>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</si>
  <si>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</si>
  <si>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</si>
  <si>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</si>
  <si>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</si>
  <si>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</si>
  <si>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</si>
  <si>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</si>
  <si>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</si>
  <si>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</si>
  <si>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</si>
  <si>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</si>
  <si>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</si>
  <si>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</si>
  <si>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</si>
  <si>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</si>
  <si>
    <t>Общая сумма выручки</t>
  </si>
  <si>
    <t>Средняя выручка</t>
  </si>
  <si>
    <t>Максимальная выручка</t>
  </si>
  <si>
    <t>Минимальная выручка</t>
  </si>
  <si>
    <t>Названия строк</t>
  </si>
  <si>
    <t>Общий итог</t>
  </si>
  <si>
    <t>Сумма по полю Количество</t>
  </si>
  <si>
    <t>Остаток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</si>
</sst>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5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</cellXfs>
  <cellStyles count="1">
    <cellStyle name="Обычный" xfId="0" builtinId="0"/>
  </cellStyles>
  <dxfs count="22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" val="0"/>
</file>

<file path=xl/ctrlProps/ctrlProp6.xml><?xml version="1.0" encoding="utf-8"?>
<formControlPr xmlns="http://schemas.microsoft.com/office/spreadsheetml/2009/9/main" objectType="Drop" dropStyle="combo" dx="22" fmlaLink="$U$15" fmlaRange="$U$11:$U$1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1052;&#1077;&#1085;&#1102;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458447</xdr:colOff>
      <xdr:row>7</xdr:row>
      <xdr:rowOff>147135</xdr:rowOff>
    </xdr:from>
    <xdr:ext cx="5947462" cy="937629"/>
    <xdr:sp macro="" textlink="">
      <xdr:nvSpPr>
        <xdr:cNvPr id="2" name="Прямоугольник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8BF265-34D1-9A22-09D3-3FFDF322D98A}"/>
            </a:ext>
          </a:extLst>
        </xdr:cNvPr>
        <xdr:cNvSpPr/>
      </xdr:nvSpPr>
      <xdr:spPr>
        <a:xfrm>
          <a:off x="2896847" y="1436185"/>
          <a:ext cx="594746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Магазин Кроссовок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25400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25400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25400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12700</xdr:rowOff>
        </xdr:from>
        <xdr:to>
          <xdr:col>4</xdr:col>
          <xdr:colOff>603250</xdr:colOff>
          <xdr:row>31</xdr:row>
          <xdr:rowOff>25400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355600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2</xdr:row>
          <xdr:rowOff>6350</xdr:rowOff>
        </xdr:from>
        <xdr:to>
          <xdr:col>4</xdr:col>
          <xdr:colOff>355600</xdr:colOff>
          <xdr:row>3</xdr:row>
          <xdr:rowOff>6350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6350</xdr:rowOff>
        </xdr:from>
        <xdr:to>
          <xdr:col>5</xdr:col>
          <xdr:colOff>222250</xdr:colOff>
          <xdr:row>3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946150</xdr:colOff>
          <xdr:row>7</xdr:row>
          <xdr:rowOff>146050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260350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82550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31750</xdr:rowOff>
        </xdr:from>
        <xdr:to>
          <xdr:col>3</xdr:col>
          <xdr:colOff>76200</xdr:colOff>
          <xdr:row>7</xdr:row>
          <xdr:rowOff>63500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450850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215900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603250</xdr:colOff>
          <xdr:row>7</xdr:row>
          <xdr:rowOff>38100</xdr:rowOff>
        </xdr:from>
        <xdr:to>
          <xdr:col>4</xdr:col>
          <xdr:colOff>247650</xdr:colOff>
          <xdr:row>8</xdr:row>
          <xdr:rowOff>69850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171450</xdr:rowOff>
        </xdr:from>
        <xdr:to>
          <xdr:col>6</xdr:col>
          <xdr:colOff>1828800</xdr:colOff>
          <xdr:row>2</xdr:row>
          <xdr:rowOff>177800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10</xdr:row>
          <xdr:rowOff>165100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12</xdr:row>
          <xdr:rowOff>0</xdr:rowOff>
        </xdr:from>
        <xdr:to>
          <xdr:col>3</xdr:col>
          <xdr:colOff>469900</xdr:colOff>
          <xdr:row>13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0</xdr:row>
          <xdr:rowOff>177800</xdr:rowOff>
        </xdr:from>
        <xdr:to>
          <xdr:col>10</xdr:col>
          <xdr:colOff>158750</xdr:colOff>
          <xdr:row>2</xdr:row>
          <xdr:rowOff>95250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Остатки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7</xdr:row>
          <xdr:rowOff>6350</xdr:rowOff>
        </xdr:from>
        <xdr:to>
          <xdr:col>6</xdr:col>
          <xdr:colOff>1790700</xdr:colOff>
          <xdr:row>8</xdr:row>
          <xdr:rowOff>6350</xdr:rowOff>
        </xdr:to>
        <xdr:sp macro="" textlink="">
          <xdr:nvSpPr>
            <xdr:cNvPr id="8201" name="CommandButton2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349250</xdr:rowOff>
        </xdr:from>
        <xdr:to>
          <xdr:col>8</xdr:col>
          <xdr:colOff>19050</xdr:colOff>
          <xdr:row>8</xdr:row>
          <xdr:rowOff>6350</xdr:rowOff>
        </xdr:to>
        <xdr:sp macro="" textlink="">
          <xdr:nvSpPr>
            <xdr:cNvPr id="8202" name="CommandButton3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nkpad" refreshedDate="45798.521237731482" createdVersion="8" refreshedVersion="8" minRefreshableVersion="3" recordCount="299" xr:uid="{807CA9CA-852C-46C4-9728-CFF28977BCEB}">
  <cacheSource type="worksheet">
    <worksheetSource name="Данные_продаж"/>
  </cacheSource>
  <cacheFields count="6">
    <cacheField name="Дата продажи" numFmtId="14">
      <sharedItems containsSemiMixedTypes="0" containsNonDate="0" containsDate="1" containsString="0" minDate="2025-01-01T00:00:00" maxDate="2025-01-31T00:00:00"/>
    </cacheField>
    <cacheField name="Код товара" numFmtId="0">
      <sharedItems containsSemiMixedTypes="0" containsString="0" containsNumber="1" containsInteger="1" minValue="1" maxValue="6"/>
    </cacheField>
    <cacheField name="Наименовние" numFmtId="0">
      <sharedItems count="6">
        <s v="Кроссовки дл бега Reebok Floatride"/>
        <s v="Кроссовки женские Adidas Ultraboost"/>
        <s v="Кроссовки мужские Nike Air Max"/>
        <s v="Кроссовки повседневные New Balance"/>
        <s v="Кроссовки треккинговые Salomon X-Hike"/>
        <s v="Кросовки детские Puma Play"/>
      </sharedItems>
    </cacheField>
    <cacheField name="Количество" numFmtId="0">
      <sharedItems containsSemiMixedTypes="0" containsString="0" containsNumber="1" containsInteger="1" minValue="1" maxValue="10"/>
    </cacheField>
    <cacheField name="Цена" numFmtId="0">
      <sharedItems containsSemiMixedTypes="0" containsString="0" containsNumber="1" minValue="5120" maxValue="12325"/>
    </cacheField>
    <cacheField name="Сумма" numFmtId="0">
      <sharedItems containsSemiMixedTypes="0" containsString="0" containsNumber="1" minValue="5120" maxValue="123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d v="2025-01-01T00:00:00"/>
    <n v="4"/>
    <x v="0"/>
    <n v="7"/>
    <n v="10385"/>
    <n v="72695"/>
  </r>
  <r>
    <d v="2025-01-01T00:00:00"/>
    <n v="4"/>
    <x v="0"/>
    <n v="9"/>
    <n v="10385"/>
    <n v="93465"/>
  </r>
  <r>
    <d v="2025-01-01T00:00:00"/>
    <n v="4"/>
    <x v="0"/>
    <n v="10"/>
    <n v="10385"/>
    <n v="103850"/>
  </r>
  <r>
    <d v="2025-01-01T00:00:00"/>
    <n v="2"/>
    <x v="1"/>
    <n v="1"/>
    <n v="11700"/>
    <n v="11700"/>
  </r>
  <r>
    <d v="2025-01-01T00:00:00"/>
    <n v="2"/>
    <x v="1"/>
    <n v="2"/>
    <n v="11700"/>
    <n v="23400"/>
  </r>
  <r>
    <d v="2025-01-01T00:00:00"/>
    <n v="2"/>
    <x v="1"/>
    <n v="7"/>
    <n v="11700"/>
    <n v="81900"/>
  </r>
  <r>
    <d v="2025-01-01T00:00:00"/>
    <n v="1"/>
    <x v="2"/>
    <n v="8"/>
    <n v="12325"/>
    <n v="98600"/>
  </r>
  <r>
    <d v="2025-01-01T00:00:00"/>
    <n v="5"/>
    <x v="3"/>
    <n v="6"/>
    <n v="7425"/>
    <n v="44550"/>
  </r>
  <r>
    <d v="2025-01-01T00:00:00"/>
    <n v="5"/>
    <x v="3"/>
    <n v="9"/>
    <n v="7425"/>
    <n v="66825"/>
  </r>
  <r>
    <d v="2025-01-01T00:00:00"/>
    <n v="6"/>
    <x v="4"/>
    <n v="2"/>
    <n v="7559.9999999999991"/>
    <n v="15119.999999999998"/>
  </r>
  <r>
    <d v="2025-01-01T00:00:00"/>
    <n v="6"/>
    <x v="4"/>
    <n v="3"/>
    <n v="7559.9999999999991"/>
    <n v="22679.999999999996"/>
  </r>
  <r>
    <d v="2025-01-02T00:00:00"/>
    <n v="3"/>
    <x v="5"/>
    <n v="2"/>
    <n v="5120"/>
    <n v="10240"/>
  </r>
  <r>
    <d v="2025-01-02T00:00:00"/>
    <n v="3"/>
    <x v="5"/>
    <n v="6"/>
    <n v="5120"/>
    <n v="30720"/>
  </r>
  <r>
    <d v="2025-01-02T00:00:00"/>
    <n v="4"/>
    <x v="0"/>
    <n v="5"/>
    <n v="10385"/>
    <n v="51925"/>
  </r>
  <r>
    <d v="2025-01-02T00:00:00"/>
    <n v="4"/>
    <x v="0"/>
    <n v="5"/>
    <n v="10385"/>
    <n v="51925"/>
  </r>
  <r>
    <d v="2025-01-02T00:00:00"/>
    <n v="4"/>
    <x v="0"/>
    <n v="5"/>
    <n v="10385"/>
    <n v="51925"/>
  </r>
  <r>
    <d v="2025-01-02T00:00:00"/>
    <n v="4"/>
    <x v="0"/>
    <n v="7"/>
    <n v="10385"/>
    <n v="72695"/>
  </r>
  <r>
    <d v="2025-01-02T00:00:00"/>
    <n v="2"/>
    <x v="1"/>
    <n v="1"/>
    <n v="11700"/>
    <n v="11700"/>
  </r>
  <r>
    <d v="2025-01-02T00:00:00"/>
    <n v="1"/>
    <x v="2"/>
    <n v="1"/>
    <n v="12325"/>
    <n v="12325"/>
  </r>
  <r>
    <d v="2025-01-02T00:00:00"/>
    <n v="5"/>
    <x v="3"/>
    <n v="1"/>
    <n v="7425"/>
    <n v="7425"/>
  </r>
  <r>
    <d v="2025-01-02T00:00:00"/>
    <n v="6"/>
    <x v="4"/>
    <n v="1"/>
    <n v="7559.9999999999991"/>
    <n v="7559.9999999999991"/>
  </r>
  <r>
    <d v="2025-01-02T00:00:00"/>
    <n v="6"/>
    <x v="4"/>
    <n v="1"/>
    <n v="7559.9999999999991"/>
    <n v="7559.9999999999991"/>
  </r>
  <r>
    <d v="2025-01-02T00:00:00"/>
    <n v="6"/>
    <x v="4"/>
    <n v="3"/>
    <n v="7559.9999999999991"/>
    <n v="22679.999999999996"/>
  </r>
  <r>
    <d v="2025-01-02T00:00:00"/>
    <n v="6"/>
    <x v="4"/>
    <n v="4"/>
    <n v="7559.9999999999991"/>
    <n v="30239.999999999996"/>
  </r>
  <r>
    <d v="2025-01-03T00:00:00"/>
    <n v="3"/>
    <x v="5"/>
    <n v="2"/>
    <n v="5120"/>
    <n v="10240"/>
  </r>
  <r>
    <d v="2025-01-03T00:00:00"/>
    <n v="3"/>
    <x v="5"/>
    <n v="3"/>
    <n v="5120"/>
    <n v="15360"/>
  </r>
  <r>
    <d v="2025-01-03T00:00:00"/>
    <n v="3"/>
    <x v="5"/>
    <n v="3"/>
    <n v="5120"/>
    <n v="15360"/>
  </r>
  <r>
    <d v="2025-01-03T00:00:00"/>
    <n v="4"/>
    <x v="0"/>
    <n v="2"/>
    <n v="10385"/>
    <n v="20770"/>
  </r>
  <r>
    <d v="2025-01-03T00:00:00"/>
    <n v="4"/>
    <x v="0"/>
    <n v="7"/>
    <n v="10385"/>
    <n v="72695"/>
  </r>
  <r>
    <d v="2025-01-03T00:00:00"/>
    <n v="2"/>
    <x v="1"/>
    <n v="8"/>
    <n v="11700"/>
    <n v="93600"/>
  </r>
  <r>
    <d v="2025-01-03T00:00:00"/>
    <n v="1"/>
    <x v="2"/>
    <n v="7"/>
    <n v="12325"/>
    <n v="86275"/>
  </r>
  <r>
    <d v="2025-01-03T00:00:00"/>
    <n v="1"/>
    <x v="2"/>
    <n v="7"/>
    <n v="12325"/>
    <n v="86275"/>
  </r>
  <r>
    <d v="2025-01-03T00:00:00"/>
    <n v="5"/>
    <x v="3"/>
    <n v="8"/>
    <n v="7425"/>
    <n v="59400"/>
  </r>
  <r>
    <d v="2025-01-03T00:00:00"/>
    <n v="6"/>
    <x v="4"/>
    <n v="6"/>
    <n v="7559.9999999999991"/>
    <n v="45359.999999999993"/>
  </r>
  <r>
    <d v="2025-01-04T00:00:00"/>
    <n v="3"/>
    <x v="5"/>
    <n v="3"/>
    <n v="5120"/>
    <n v="15360"/>
  </r>
  <r>
    <d v="2025-01-04T00:00:00"/>
    <n v="3"/>
    <x v="5"/>
    <n v="9"/>
    <n v="5120"/>
    <n v="46080"/>
  </r>
  <r>
    <d v="2025-01-04T00:00:00"/>
    <n v="4"/>
    <x v="0"/>
    <n v="7"/>
    <n v="10385"/>
    <n v="72695"/>
  </r>
  <r>
    <d v="2025-01-04T00:00:00"/>
    <n v="2"/>
    <x v="1"/>
    <n v="4"/>
    <n v="11700"/>
    <n v="46800"/>
  </r>
  <r>
    <d v="2025-01-04T00:00:00"/>
    <n v="2"/>
    <x v="1"/>
    <n v="4"/>
    <n v="11700"/>
    <n v="46800"/>
  </r>
  <r>
    <d v="2025-01-04T00:00:00"/>
    <n v="2"/>
    <x v="1"/>
    <n v="7"/>
    <n v="11700"/>
    <n v="81900"/>
  </r>
  <r>
    <d v="2025-01-04T00:00:00"/>
    <n v="2"/>
    <x v="1"/>
    <n v="7"/>
    <n v="11700"/>
    <n v="81900"/>
  </r>
  <r>
    <d v="2025-01-04T00:00:00"/>
    <n v="1"/>
    <x v="2"/>
    <n v="4"/>
    <n v="12325"/>
    <n v="49300"/>
  </r>
  <r>
    <d v="2025-01-04T00:00:00"/>
    <n v="1"/>
    <x v="2"/>
    <n v="7"/>
    <n v="12325"/>
    <n v="86275"/>
  </r>
  <r>
    <d v="2025-01-04T00:00:00"/>
    <n v="5"/>
    <x v="3"/>
    <n v="1"/>
    <n v="7425"/>
    <n v="7425"/>
  </r>
  <r>
    <d v="2025-01-04T00:00:00"/>
    <n v="5"/>
    <x v="3"/>
    <n v="3"/>
    <n v="7425"/>
    <n v="22275"/>
  </r>
  <r>
    <d v="2025-01-04T00:00:00"/>
    <n v="5"/>
    <x v="3"/>
    <n v="7"/>
    <n v="7425"/>
    <n v="51975"/>
  </r>
  <r>
    <d v="2025-01-04T00:00:00"/>
    <n v="6"/>
    <x v="4"/>
    <n v="6"/>
    <n v="7559.9999999999991"/>
    <n v="45359.999999999993"/>
  </r>
  <r>
    <d v="2025-01-04T00:00:00"/>
    <n v="6"/>
    <x v="4"/>
    <n v="8"/>
    <n v="7559.9999999999991"/>
    <n v="60479.999999999993"/>
  </r>
  <r>
    <d v="2025-01-04T00:00:00"/>
    <n v="6"/>
    <x v="4"/>
    <n v="9"/>
    <n v="7559.9999999999991"/>
    <n v="68039.999999999985"/>
  </r>
  <r>
    <d v="2025-01-04T00:00:00"/>
    <n v="6"/>
    <x v="4"/>
    <n v="10"/>
    <n v="7559.9999999999991"/>
    <n v="75599.999999999985"/>
  </r>
  <r>
    <d v="2025-01-05T00:00:00"/>
    <n v="4"/>
    <x v="0"/>
    <n v="2"/>
    <n v="10385"/>
    <n v="20770"/>
  </r>
  <r>
    <d v="2025-01-05T00:00:00"/>
    <n v="4"/>
    <x v="0"/>
    <n v="3"/>
    <n v="10385"/>
    <n v="31155"/>
  </r>
  <r>
    <d v="2025-01-05T00:00:00"/>
    <n v="4"/>
    <x v="0"/>
    <n v="6"/>
    <n v="10385"/>
    <n v="62310"/>
  </r>
  <r>
    <d v="2025-01-05T00:00:00"/>
    <n v="4"/>
    <x v="0"/>
    <n v="6"/>
    <n v="10385"/>
    <n v="62310"/>
  </r>
  <r>
    <d v="2025-01-05T00:00:00"/>
    <n v="4"/>
    <x v="0"/>
    <n v="7"/>
    <n v="10385"/>
    <n v="72695"/>
  </r>
  <r>
    <d v="2025-01-05T00:00:00"/>
    <n v="2"/>
    <x v="1"/>
    <n v="3"/>
    <n v="11700"/>
    <n v="35100"/>
  </r>
  <r>
    <d v="2025-01-05T00:00:00"/>
    <n v="2"/>
    <x v="1"/>
    <n v="3"/>
    <n v="11700"/>
    <n v="35100"/>
  </r>
  <r>
    <d v="2025-01-05T00:00:00"/>
    <n v="2"/>
    <x v="1"/>
    <n v="5"/>
    <n v="11700"/>
    <n v="58500"/>
  </r>
  <r>
    <d v="2025-01-05T00:00:00"/>
    <n v="2"/>
    <x v="1"/>
    <n v="6"/>
    <n v="11700"/>
    <n v="70200"/>
  </r>
  <r>
    <d v="2025-01-05T00:00:00"/>
    <n v="2"/>
    <x v="1"/>
    <n v="8"/>
    <n v="11700"/>
    <n v="93600"/>
  </r>
  <r>
    <d v="2025-01-05T00:00:00"/>
    <n v="1"/>
    <x v="2"/>
    <n v="1"/>
    <n v="12325"/>
    <n v="12325"/>
  </r>
  <r>
    <d v="2025-01-05T00:00:00"/>
    <n v="1"/>
    <x v="2"/>
    <n v="7"/>
    <n v="12325"/>
    <n v="86275"/>
  </r>
  <r>
    <d v="2025-01-05T00:00:00"/>
    <n v="1"/>
    <x v="2"/>
    <n v="7"/>
    <n v="12325"/>
    <n v="86275"/>
  </r>
  <r>
    <d v="2025-01-05T00:00:00"/>
    <n v="5"/>
    <x v="3"/>
    <n v="8"/>
    <n v="7425"/>
    <n v="59400"/>
  </r>
  <r>
    <d v="2025-01-06T00:00:00"/>
    <n v="3"/>
    <x v="5"/>
    <n v="6"/>
    <n v="5120"/>
    <n v="30720"/>
  </r>
  <r>
    <d v="2025-01-06T00:00:00"/>
    <n v="4"/>
    <x v="0"/>
    <n v="4"/>
    <n v="10385"/>
    <n v="41540"/>
  </r>
  <r>
    <d v="2025-01-06T00:00:00"/>
    <n v="4"/>
    <x v="0"/>
    <n v="10"/>
    <n v="10385"/>
    <n v="103850"/>
  </r>
  <r>
    <d v="2025-01-06T00:00:00"/>
    <n v="2"/>
    <x v="1"/>
    <n v="4"/>
    <n v="11700"/>
    <n v="46800"/>
  </r>
  <r>
    <d v="2025-01-06T00:00:00"/>
    <n v="1"/>
    <x v="2"/>
    <n v="1"/>
    <n v="12325"/>
    <n v="12325"/>
  </r>
  <r>
    <d v="2025-01-06T00:00:00"/>
    <n v="1"/>
    <x v="2"/>
    <n v="7"/>
    <n v="12325"/>
    <n v="86275"/>
  </r>
  <r>
    <d v="2025-01-06T00:00:00"/>
    <n v="1"/>
    <x v="2"/>
    <n v="9"/>
    <n v="12325"/>
    <n v="110925"/>
  </r>
  <r>
    <d v="2025-01-06T00:00:00"/>
    <n v="5"/>
    <x v="3"/>
    <n v="7"/>
    <n v="7425"/>
    <n v="51975"/>
  </r>
  <r>
    <d v="2025-01-06T00:00:00"/>
    <n v="6"/>
    <x v="4"/>
    <n v="5"/>
    <n v="7559.9999999999991"/>
    <n v="37799.999999999993"/>
  </r>
  <r>
    <d v="2025-01-07T00:00:00"/>
    <n v="3"/>
    <x v="5"/>
    <n v="6"/>
    <n v="5120"/>
    <n v="30720"/>
  </r>
  <r>
    <d v="2025-01-07T00:00:00"/>
    <n v="4"/>
    <x v="0"/>
    <n v="2"/>
    <n v="10385"/>
    <n v="20770"/>
  </r>
  <r>
    <d v="2025-01-07T00:00:00"/>
    <n v="4"/>
    <x v="0"/>
    <n v="10"/>
    <n v="10385"/>
    <n v="103850"/>
  </r>
  <r>
    <d v="2025-01-07T00:00:00"/>
    <n v="2"/>
    <x v="1"/>
    <n v="3"/>
    <n v="11700"/>
    <n v="35100"/>
  </r>
  <r>
    <d v="2025-01-07T00:00:00"/>
    <n v="2"/>
    <x v="1"/>
    <n v="10"/>
    <n v="11700"/>
    <n v="117000"/>
  </r>
  <r>
    <d v="2025-01-07T00:00:00"/>
    <n v="5"/>
    <x v="3"/>
    <n v="1"/>
    <n v="7425"/>
    <n v="7425"/>
  </r>
  <r>
    <d v="2025-01-07T00:00:00"/>
    <n v="5"/>
    <x v="3"/>
    <n v="2"/>
    <n v="7425"/>
    <n v="14850"/>
  </r>
  <r>
    <d v="2025-01-07T00:00:00"/>
    <n v="6"/>
    <x v="4"/>
    <n v="4"/>
    <n v="7559.9999999999991"/>
    <n v="30239.999999999996"/>
  </r>
  <r>
    <d v="2025-01-08T00:00:00"/>
    <n v="3"/>
    <x v="5"/>
    <n v="5"/>
    <n v="5120"/>
    <n v="25600"/>
  </r>
  <r>
    <d v="2025-01-08T00:00:00"/>
    <n v="4"/>
    <x v="0"/>
    <n v="3"/>
    <n v="10385"/>
    <n v="31155"/>
  </r>
  <r>
    <d v="2025-01-08T00:00:00"/>
    <n v="4"/>
    <x v="0"/>
    <n v="8"/>
    <n v="10385"/>
    <n v="83080"/>
  </r>
  <r>
    <d v="2025-01-08T00:00:00"/>
    <n v="2"/>
    <x v="1"/>
    <n v="2"/>
    <n v="11700"/>
    <n v="23400"/>
  </r>
  <r>
    <d v="2025-01-08T00:00:00"/>
    <n v="2"/>
    <x v="1"/>
    <n v="3"/>
    <n v="11700"/>
    <n v="35100"/>
  </r>
  <r>
    <d v="2025-01-08T00:00:00"/>
    <n v="1"/>
    <x v="2"/>
    <n v="5"/>
    <n v="12325"/>
    <n v="61625"/>
  </r>
  <r>
    <d v="2025-01-08T00:00:00"/>
    <n v="1"/>
    <x v="2"/>
    <n v="7"/>
    <n v="12325"/>
    <n v="86275"/>
  </r>
  <r>
    <d v="2025-01-08T00:00:00"/>
    <n v="1"/>
    <x v="2"/>
    <n v="7"/>
    <n v="12325"/>
    <n v="86275"/>
  </r>
  <r>
    <d v="2025-01-08T00:00:00"/>
    <n v="6"/>
    <x v="4"/>
    <n v="3"/>
    <n v="7559.9999999999991"/>
    <n v="22679.999999999996"/>
  </r>
  <r>
    <d v="2025-01-08T00:00:00"/>
    <n v="6"/>
    <x v="4"/>
    <n v="9"/>
    <n v="7559.9999999999991"/>
    <n v="68039.999999999985"/>
  </r>
  <r>
    <d v="2025-01-09T00:00:00"/>
    <n v="3"/>
    <x v="5"/>
    <n v="9"/>
    <n v="5120"/>
    <n v="46080"/>
  </r>
  <r>
    <d v="2025-01-09T00:00:00"/>
    <n v="2"/>
    <x v="1"/>
    <n v="4"/>
    <n v="11700"/>
    <n v="46800"/>
  </r>
  <r>
    <d v="2025-01-09T00:00:00"/>
    <n v="2"/>
    <x v="1"/>
    <n v="5"/>
    <n v="11700"/>
    <n v="58500"/>
  </r>
  <r>
    <d v="2025-01-09T00:00:00"/>
    <n v="2"/>
    <x v="1"/>
    <n v="5"/>
    <n v="11700"/>
    <n v="58500"/>
  </r>
  <r>
    <d v="2025-01-09T00:00:00"/>
    <n v="2"/>
    <x v="1"/>
    <n v="6"/>
    <n v="11700"/>
    <n v="70200"/>
  </r>
  <r>
    <d v="2025-01-09T00:00:00"/>
    <n v="1"/>
    <x v="2"/>
    <n v="10"/>
    <n v="12325"/>
    <n v="123250"/>
  </r>
  <r>
    <d v="2025-01-09T00:00:00"/>
    <n v="5"/>
    <x v="3"/>
    <n v="3"/>
    <n v="7425"/>
    <n v="22275"/>
  </r>
  <r>
    <d v="2025-01-09T00:00:00"/>
    <n v="6"/>
    <x v="4"/>
    <n v="3"/>
    <n v="7559.9999999999991"/>
    <n v="22679.999999999996"/>
  </r>
  <r>
    <d v="2025-01-09T00:00:00"/>
    <n v="6"/>
    <x v="4"/>
    <n v="9"/>
    <n v="7559.9999999999991"/>
    <n v="68039.999999999985"/>
  </r>
  <r>
    <d v="2025-01-10T00:00:00"/>
    <n v="3"/>
    <x v="5"/>
    <n v="5"/>
    <n v="5120"/>
    <n v="25600"/>
  </r>
  <r>
    <d v="2025-01-10T00:00:00"/>
    <n v="4"/>
    <x v="0"/>
    <n v="6"/>
    <n v="10385"/>
    <n v="62310"/>
  </r>
  <r>
    <d v="2025-01-10T00:00:00"/>
    <n v="4"/>
    <x v="0"/>
    <n v="8"/>
    <n v="10385"/>
    <n v="83080"/>
  </r>
  <r>
    <d v="2025-01-10T00:00:00"/>
    <n v="2"/>
    <x v="1"/>
    <n v="3"/>
    <n v="11700"/>
    <n v="35100"/>
  </r>
  <r>
    <d v="2025-01-10T00:00:00"/>
    <n v="1"/>
    <x v="2"/>
    <n v="4"/>
    <n v="12325"/>
    <n v="49300"/>
  </r>
  <r>
    <d v="2025-01-10T00:00:00"/>
    <n v="1"/>
    <x v="2"/>
    <n v="4"/>
    <n v="12325"/>
    <n v="49300"/>
  </r>
  <r>
    <d v="2025-01-10T00:00:00"/>
    <n v="1"/>
    <x v="2"/>
    <n v="9"/>
    <n v="12325"/>
    <n v="110925"/>
  </r>
  <r>
    <d v="2025-01-10T00:00:00"/>
    <n v="1"/>
    <x v="2"/>
    <n v="9"/>
    <n v="12325"/>
    <n v="110925"/>
  </r>
  <r>
    <d v="2025-01-10T00:00:00"/>
    <n v="1"/>
    <x v="2"/>
    <n v="10"/>
    <n v="12325"/>
    <n v="123250"/>
  </r>
  <r>
    <d v="2025-01-10T00:00:00"/>
    <n v="5"/>
    <x v="3"/>
    <n v="1"/>
    <n v="7425"/>
    <n v="7425"/>
  </r>
  <r>
    <d v="2025-01-10T00:00:00"/>
    <n v="5"/>
    <x v="3"/>
    <n v="1"/>
    <n v="7425"/>
    <n v="7425"/>
  </r>
  <r>
    <d v="2025-01-10T00:00:00"/>
    <n v="6"/>
    <x v="4"/>
    <n v="5"/>
    <n v="7559.9999999999991"/>
    <n v="37799.999999999993"/>
  </r>
  <r>
    <d v="2025-01-11T00:00:00"/>
    <n v="3"/>
    <x v="5"/>
    <n v="7"/>
    <n v="5120"/>
    <n v="35840"/>
  </r>
  <r>
    <d v="2025-01-11T00:00:00"/>
    <n v="3"/>
    <x v="5"/>
    <n v="10"/>
    <n v="5120"/>
    <n v="51200"/>
  </r>
  <r>
    <d v="2025-01-11T00:00:00"/>
    <n v="4"/>
    <x v="0"/>
    <n v="1"/>
    <n v="10385"/>
    <n v="10385"/>
  </r>
  <r>
    <d v="2025-01-11T00:00:00"/>
    <n v="4"/>
    <x v="0"/>
    <n v="1"/>
    <n v="10385"/>
    <n v="10385"/>
  </r>
  <r>
    <d v="2025-01-11T00:00:00"/>
    <n v="2"/>
    <x v="1"/>
    <n v="1"/>
    <n v="11700"/>
    <n v="11700"/>
  </r>
  <r>
    <d v="2025-01-11T00:00:00"/>
    <n v="2"/>
    <x v="1"/>
    <n v="5"/>
    <n v="11700"/>
    <n v="58500"/>
  </r>
  <r>
    <d v="2025-01-11T00:00:00"/>
    <n v="2"/>
    <x v="1"/>
    <n v="9"/>
    <n v="11700"/>
    <n v="105300"/>
  </r>
  <r>
    <d v="2025-01-11T00:00:00"/>
    <n v="1"/>
    <x v="2"/>
    <n v="2"/>
    <n v="12325"/>
    <n v="24650"/>
  </r>
  <r>
    <d v="2025-01-11T00:00:00"/>
    <n v="1"/>
    <x v="2"/>
    <n v="5"/>
    <n v="12325"/>
    <n v="61625"/>
  </r>
  <r>
    <d v="2025-01-11T00:00:00"/>
    <n v="1"/>
    <x v="2"/>
    <n v="6"/>
    <n v="12325"/>
    <n v="73950"/>
  </r>
  <r>
    <d v="2025-01-11T00:00:00"/>
    <n v="1"/>
    <x v="2"/>
    <n v="10"/>
    <n v="12325"/>
    <n v="123250"/>
  </r>
  <r>
    <d v="2025-01-11T00:00:00"/>
    <n v="5"/>
    <x v="3"/>
    <n v="3"/>
    <n v="7425"/>
    <n v="22275"/>
  </r>
  <r>
    <d v="2025-01-11T00:00:00"/>
    <n v="5"/>
    <x v="3"/>
    <n v="7"/>
    <n v="7425"/>
    <n v="51975"/>
  </r>
  <r>
    <d v="2025-01-11T00:00:00"/>
    <n v="6"/>
    <x v="4"/>
    <n v="6"/>
    <n v="7559.9999999999991"/>
    <n v="45359.999999999993"/>
  </r>
  <r>
    <d v="2025-01-11T00:00:00"/>
    <n v="6"/>
    <x v="4"/>
    <n v="8"/>
    <n v="7559.9999999999991"/>
    <n v="60479.999999999993"/>
  </r>
  <r>
    <d v="2025-01-12T00:00:00"/>
    <n v="4"/>
    <x v="0"/>
    <n v="2"/>
    <n v="10385"/>
    <n v="20770"/>
  </r>
  <r>
    <d v="2025-01-12T00:00:00"/>
    <n v="4"/>
    <x v="0"/>
    <n v="10"/>
    <n v="10385"/>
    <n v="103850"/>
  </r>
  <r>
    <d v="2025-01-12T00:00:00"/>
    <n v="4"/>
    <x v="0"/>
    <n v="10"/>
    <n v="10385"/>
    <n v="103850"/>
  </r>
  <r>
    <d v="2025-01-12T00:00:00"/>
    <n v="2"/>
    <x v="1"/>
    <n v="10"/>
    <n v="11700"/>
    <n v="117000"/>
  </r>
  <r>
    <d v="2025-01-12T00:00:00"/>
    <n v="1"/>
    <x v="2"/>
    <n v="9"/>
    <n v="12325"/>
    <n v="110925"/>
  </r>
  <r>
    <d v="2025-01-12T00:00:00"/>
    <n v="5"/>
    <x v="3"/>
    <n v="3"/>
    <n v="7425"/>
    <n v="22275"/>
  </r>
  <r>
    <d v="2025-01-12T00:00:00"/>
    <n v="6"/>
    <x v="4"/>
    <n v="8"/>
    <n v="7559.9999999999991"/>
    <n v="60479.999999999993"/>
  </r>
  <r>
    <d v="2025-01-12T00:00:00"/>
    <n v="6"/>
    <x v="4"/>
    <n v="9"/>
    <n v="7559.9999999999991"/>
    <n v="68039.999999999985"/>
  </r>
  <r>
    <d v="2025-01-13T00:00:00"/>
    <n v="3"/>
    <x v="5"/>
    <n v="2"/>
    <n v="5120"/>
    <n v="10240"/>
  </r>
  <r>
    <d v="2025-01-13T00:00:00"/>
    <n v="3"/>
    <x v="5"/>
    <n v="5"/>
    <n v="5120"/>
    <n v="25600"/>
  </r>
  <r>
    <d v="2025-01-13T00:00:00"/>
    <n v="3"/>
    <x v="5"/>
    <n v="6"/>
    <n v="5120"/>
    <n v="30720"/>
  </r>
  <r>
    <d v="2025-01-13T00:00:00"/>
    <n v="3"/>
    <x v="5"/>
    <n v="9"/>
    <n v="5120"/>
    <n v="46080"/>
  </r>
  <r>
    <d v="2025-01-13T00:00:00"/>
    <n v="3"/>
    <x v="5"/>
    <n v="10"/>
    <n v="5120"/>
    <n v="51200"/>
  </r>
  <r>
    <d v="2025-01-13T00:00:00"/>
    <n v="1"/>
    <x v="2"/>
    <n v="4"/>
    <n v="12325"/>
    <n v="49300"/>
  </r>
  <r>
    <d v="2025-01-13T00:00:00"/>
    <n v="5"/>
    <x v="3"/>
    <n v="4"/>
    <n v="7425"/>
    <n v="29700"/>
  </r>
  <r>
    <d v="2025-01-13T00:00:00"/>
    <n v="5"/>
    <x v="3"/>
    <n v="9"/>
    <n v="7425"/>
    <n v="66825"/>
  </r>
  <r>
    <d v="2025-01-13T00:00:00"/>
    <n v="5"/>
    <x v="3"/>
    <n v="10"/>
    <n v="7425"/>
    <n v="74250"/>
  </r>
  <r>
    <d v="2025-01-13T00:00:00"/>
    <n v="6"/>
    <x v="4"/>
    <n v="3"/>
    <n v="7559.9999999999991"/>
    <n v="22679.999999999996"/>
  </r>
  <r>
    <d v="2025-01-13T00:00:00"/>
    <n v="6"/>
    <x v="4"/>
    <n v="10"/>
    <n v="7559.9999999999991"/>
    <n v="75599.999999999985"/>
  </r>
  <r>
    <d v="2025-01-14T00:00:00"/>
    <n v="3"/>
    <x v="5"/>
    <n v="2"/>
    <n v="5120"/>
    <n v="10240"/>
  </r>
  <r>
    <d v="2025-01-14T00:00:00"/>
    <n v="4"/>
    <x v="0"/>
    <n v="3"/>
    <n v="10385"/>
    <n v="31155"/>
  </r>
  <r>
    <d v="2025-01-14T00:00:00"/>
    <n v="4"/>
    <x v="0"/>
    <n v="8"/>
    <n v="10385"/>
    <n v="83080"/>
  </r>
  <r>
    <d v="2025-01-14T00:00:00"/>
    <n v="2"/>
    <x v="1"/>
    <n v="8"/>
    <n v="11700"/>
    <n v="93600"/>
  </r>
  <r>
    <d v="2025-01-14T00:00:00"/>
    <n v="2"/>
    <x v="1"/>
    <n v="8"/>
    <n v="11700"/>
    <n v="93600"/>
  </r>
  <r>
    <d v="2025-01-14T00:00:00"/>
    <n v="1"/>
    <x v="2"/>
    <n v="2"/>
    <n v="12325"/>
    <n v="24650"/>
  </r>
  <r>
    <d v="2025-01-14T00:00:00"/>
    <n v="1"/>
    <x v="2"/>
    <n v="4"/>
    <n v="12325"/>
    <n v="49300"/>
  </r>
  <r>
    <d v="2025-01-14T00:00:00"/>
    <n v="5"/>
    <x v="3"/>
    <n v="2"/>
    <n v="7425"/>
    <n v="14850"/>
  </r>
  <r>
    <d v="2025-01-14T00:00:00"/>
    <n v="5"/>
    <x v="3"/>
    <n v="7"/>
    <n v="7425"/>
    <n v="51975"/>
  </r>
  <r>
    <d v="2025-01-14T00:00:00"/>
    <n v="6"/>
    <x v="4"/>
    <n v="4"/>
    <n v="7559.9999999999991"/>
    <n v="30239.999999999996"/>
  </r>
  <r>
    <d v="2025-01-15T00:00:00"/>
    <n v="4"/>
    <x v="0"/>
    <n v="10"/>
    <n v="10385"/>
    <n v="103850"/>
  </r>
  <r>
    <d v="2025-01-15T00:00:00"/>
    <n v="2"/>
    <x v="1"/>
    <n v="9"/>
    <n v="11700"/>
    <n v="105300"/>
  </r>
  <r>
    <d v="2025-01-15T00:00:00"/>
    <n v="1"/>
    <x v="2"/>
    <n v="7"/>
    <n v="12325"/>
    <n v="86275"/>
  </r>
  <r>
    <d v="2025-01-15T00:00:00"/>
    <n v="5"/>
    <x v="3"/>
    <n v="3"/>
    <n v="7425"/>
    <n v="22275"/>
  </r>
  <r>
    <d v="2025-01-16T00:00:00"/>
    <n v="3"/>
    <x v="5"/>
    <n v="1"/>
    <n v="5120"/>
    <n v="5120"/>
  </r>
  <r>
    <d v="2025-01-16T00:00:00"/>
    <n v="4"/>
    <x v="0"/>
    <n v="6"/>
    <n v="10385"/>
    <n v="62310"/>
  </r>
  <r>
    <d v="2025-01-16T00:00:00"/>
    <n v="4"/>
    <x v="0"/>
    <n v="6"/>
    <n v="10385"/>
    <n v="62310"/>
  </r>
  <r>
    <d v="2025-01-16T00:00:00"/>
    <n v="2"/>
    <x v="1"/>
    <n v="3"/>
    <n v="11700"/>
    <n v="35100"/>
  </r>
  <r>
    <d v="2025-01-16T00:00:00"/>
    <n v="2"/>
    <x v="1"/>
    <n v="5"/>
    <n v="11700"/>
    <n v="58500"/>
  </r>
  <r>
    <d v="2025-01-16T00:00:00"/>
    <n v="2"/>
    <x v="1"/>
    <n v="8"/>
    <n v="11700"/>
    <n v="93600"/>
  </r>
  <r>
    <d v="2025-01-16T00:00:00"/>
    <n v="2"/>
    <x v="1"/>
    <n v="10"/>
    <n v="11700"/>
    <n v="117000"/>
  </r>
  <r>
    <d v="2025-01-16T00:00:00"/>
    <n v="1"/>
    <x v="2"/>
    <n v="9"/>
    <n v="12325"/>
    <n v="110925"/>
  </r>
  <r>
    <d v="2025-01-16T00:00:00"/>
    <n v="5"/>
    <x v="3"/>
    <n v="1"/>
    <n v="7425"/>
    <n v="7425"/>
  </r>
  <r>
    <d v="2025-01-16T00:00:00"/>
    <n v="5"/>
    <x v="3"/>
    <n v="5"/>
    <n v="7425"/>
    <n v="37125"/>
  </r>
  <r>
    <d v="2025-01-16T00:00:00"/>
    <n v="5"/>
    <x v="3"/>
    <n v="5"/>
    <n v="7425"/>
    <n v="37125"/>
  </r>
  <r>
    <d v="2025-01-16T00:00:00"/>
    <n v="5"/>
    <x v="3"/>
    <n v="8"/>
    <n v="7425"/>
    <n v="59400"/>
  </r>
  <r>
    <d v="2025-01-17T00:00:00"/>
    <n v="3"/>
    <x v="5"/>
    <n v="4"/>
    <n v="5120"/>
    <n v="20480"/>
  </r>
  <r>
    <d v="2025-01-17T00:00:00"/>
    <n v="4"/>
    <x v="0"/>
    <n v="1"/>
    <n v="10385"/>
    <n v="10385"/>
  </r>
  <r>
    <d v="2025-01-17T00:00:00"/>
    <n v="1"/>
    <x v="2"/>
    <n v="4"/>
    <n v="12325"/>
    <n v="49300"/>
  </r>
  <r>
    <d v="2025-01-17T00:00:00"/>
    <n v="1"/>
    <x v="2"/>
    <n v="8"/>
    <n v="12325"/>
    <n v="98600"/>
  </r>
  <r>
    <d v="2025-01-17T00:00:00"/>
    <n v="5"/>
    <x v="3"/>
    <n v="4"/>
    <n v="7425"/>
    <n v="29700"/>
  </r>
  <r>
    <d v="2025-01-17T00:00:00"/>
    <n v="6"/>
    <x v="4"/>
    <n v="1"/>
    <n v="7559.9999999999991"/>
    <n v="7559.9999999999991"/>
  </r>
  <r>
    <d v="2025-01-18T00:00:00"/>
    <n v="3"/>
    <x v="5"/>
    <n v="1"/>
    <n v="5120"/>
    <n v="5120"/>
  </r>
  <r>
    <d v="2025-01-18T00:00:00"/>
    <n v="2"/>
    <x v="1"/>
    <n v="1"/>
    <n v="11700"/>
    <n v="11700"/>
  </r>
  <r>
    <d v="2025-01-18T00:00:00"/>
    <n v="2"/>
    <x v="1"/>
    <n v="7"/>
    <n v="11700"/>
    <n v="81900"/>
  </r>
  <r>
    <d v="2025-01-18T00:00:00"/>
    <n v="1"/>
    <x v="2"/>
    <n v="4"/>
    <n v="12325"/>
    <n v="49300"/>
  </r>
  <r>
    <d v="2025-01-18T00:00:00"/>
    <n v="1"/>
    <x v="2"/>
    <n v="8"/>
    <n v="12325"/>
    <n v="98600"/>
  </r>
  <r>
    <d v="2025-01-18T00:00:00"/>
    <n v="5"/>
    <x v="3"/>
    <n v="1"/>
    <n v="7425"/>
    <n v="7425"/>
  </r>
  <r>
    <d v="2025-01-18T00:00:00"/>
    <n v="5"/>
    <x v="3"/>
    <n v="2"/>
    <n v="7425"/>
    <n v="14850"/>
  </r>
  <r>
    <d v="2025-01-18T00:00:00"/>
    <n v="6"/>
    <x v="4"/>
    <n v="1"/>
    <n v="7559.9999999999991"/>
    <n v="7559.9999999999991"/>
  </r>
  <r>
    <d v="2025-01-18T00:00:00"/>
    <n v="6"/>
    <x v="4"/>
    <n v="9"/>
    <n v="7559.9999999999991"/>
    <n v="68039.999999999985"/>
  </r>
  <r>
    <d v="2025-01-18T00:00:00"/>
    <n v="6"/>
    <x v="4"/>
    <n v="10"/>
    <n v="7559.9999999999991"/>
    <n v="75599.999999999985"/>
  </r>
  <r>
    <d v="2025-01-19T00:00:00"/>
    <n v="3"/>
    <x v="5"/>
    <n v="6"/>
    <n v="5120"/>
    <n v="30720"/>
  </r>
  <r>
    <d v="2025-01-19T00:00:00"/>
    <n v="3"/>
    <x v="5"/>
    <n v="8"/>
    <n v="5120"/>
    <n v="40960"/>
  </r>
  <r>
    <d v="2025-01-19T00:00:00"/>
    <n v="4"/>
    <x v="0"/>
    <n v="7"/>
    <n v="10385"/>
    <n v="72695"/>
  </r>
  <r>
    <d v="2025-01-19T00:00:00"/>
    <n v="4"/>
    <x v="0"/>
    <n v="10"/>
    <n v="10385"/>
    <n v="103850"/>
  </r>
  <r>
    <d v="2025-01-19T00:00:00"/>
    <n v="2"/>
    <x v="1"/>
    <n v="8"/>
    <n v="11700"/>
    <n v="93600"/>
  </r>
  <r>
    <d v="2025-01-19T00:00:00"/>
    <n v="2"/>
    <x v="1"/>
    <n v="9"/>
    <n v="11700"/>
    <n v="105300"/>
  </r>
  <r>
    <d v="2025-01-19T00:00:00"/>
    <n v="1"/>
    <x v="2"/>
    <n v="8"/>
    <n v="12325"/>
    <n v="98600"/>
  </r>
  <r>
    <d v="2025-01-19T00:00:00"/>
    <n v="5"/>
    <x v="3"/>
    <n v="1"/>
    <n v="7425"/>
    <n v="7425"/>
  </r>
  <r>
    <d v="2025-01-19T00:00:00"/>
    <n v="5"/>
    <x v="3"/>
    <n v="4"/>
    <n v="7425"/>
    <n v="29700"/>
  </r>
  <r>
    <d v="2025-01-19T00:00:00"/>
    <n v="6"/>
    <x v="4"/>
    <n v="4"/>
    <n v="7559.9999999999991"/>
    <n v="30239.999999999996"/>
  </r>
  <r>
    <d v="2025-01-20T00:00:00"/>
    <n v="3"/>
    <x v="5"/>
    <n v="5"/>
    <n v="5120"/>
    <n v="25600"/>
  </r>
  <r>
    <d v="2025-01-20T00:00:00"/>
    <n v="3"/>
    <x v="5"/>
    <n v="10"/>
    <n v="5120"/>
    <n v="51200"/>
  </r>
  <r>
    <d v="2025-01-20T00:00:00"/>
    <n v="4"/>
    <x v="0"/>
    <n v="6"/>
    <n v="10385"/>
    <n v="62310"/>
  </r>
  <r>
    <d v="2025-01-20T00:00:00"/>
    <n v="4"/>
    <x v="0"/>
    <n v="8"/>
    <n v="10385"/>
    <n v="83080"/>
  </r>
  <r>
    <d v="2025-01-20T00:00:00"/>
    <n v="2"/>
    <x v="1"/>
    <n v="1"/>
    <n v="11700"/>
    <n v="11700"/>
  </r>
  <r>
    <d v="2025-01-20T00:00:00"/>
    <n v="2"/>
    <x v="1"/>
    <n v="10"/>
    <n v="11700"/>
    <n v="117000"/>
  </r>
  <r>
    <d v="2025-01-20T00:00:00"/>
    <n v="5"/>
    <x v="3"/>
    <n v="7"/>
    <n v="7425"/>
    <n v="51975"/>
  </r>
  <r>
    <d v="2025-01-20T00:00:00"/>
    <n v="5"/>
    <x v="3"/>
    <n v="10"/>
    <n v="7425"/>
    <n v="74250"/>
  </r>
  <r>
    <d v="2025-01-20T00:00:00"/>
    <n v="6"/>
    <x v="4"/>
    <n v="9"/>
    <n v="7559.9999999999991"/>
    <n v="68039.999999999985"/>
  </r>
  <r>
    <d v="2025-01-20T00:00:00"/>
    <n v="6"/>
    <x v="4"/>
    <n v="10"/>
    <n v="7559.9999999999991"/>
    <n v="75599.999999999985"/>
  </r>
  <r>
    <d v="2025-01-21T00:00:00"/>
    <n v="3"/>
    <x v="5"/>
    <n v="1"/>
    <n v="5120"/>
    <n v="5120"/>
  </r>
  <r>
    <d v="2025-01-21T00:00:00"/>
    <n v="4"/>
    <x v="0"/>
    <n v="1"/>
    <n v="10385"/>
    <n v="10385"/>
  </r>
  <r>
    <d v="2025-01-21T00:00:00"/>
    <n v="4"/>
    <x v="0"/>
    <n v="6"/>
    <n v="10385"/>
    <n v="62310"/>
  </r>
  <r>
    <d v="2025-01-21T00:00:00"/>
    <n v="4"/>
    <x v="0"/>
    <n v="10"/>
    <n v="10385"/>
    <n v="103850"/>
  </r>
  <r>
    <d v="2025-01-21T00:00:00"/>
    <n v="2"/>
    <x v="1"/>
    <n v="2"/>
    <n v="11700"/>
    <n v="23400"/>
  </r>
  <r>
    <d v="2025-01-21T00:00:00"/>
    <n v="2"/>
    <x v="1"/>
    <n v="6"/>
    <n v="11700"/>
    <n v="70200"/>
  </r>
  <r>
    <d v="2025-01-21T00:00:00"/>
    <n v="2"/>
    <x v="1"/>
    <n v="8"/>
    <n v="11700"/>
    <n v="93600"/>
  </r>
  <r>
    <d v="2025-01-21T00:00:00"/>
    <n v="2"/>
    <x v="1"/>
    <n v="10"/>
    <n v="11700"/>
    <n v="117000"/>
  </r>
  <r>
    <d v="2025-01-21T00:00:00"/>
    <n v="1"/>
    <x v="2"/>
    <n v="8"/>
    <n v="12325"/>
    <n v="98600"/>
  </r>
  <r>
    <d v="2025-01-21T00:00:00"/>
    <n v="5"/>
    <x v="3"/>
    <n v="4"/>
    <n v="7425"/>
    <n v="29700"/>
  </r>
  <r>
    <d v="2025-01-21T00:00:00"/>
    <n v="5"/>
    <x v="3"/>
    <n v="5"/>
    <n v="7425"/>
    <n v="37125"/>
  </r>
  <r>
    <d v="2025-01-21T00:00:00"/>
    <n v="6"/>
    <x v="4"/>
    <n v="7"/>
    <n v="7559.9999999999991"/>
    <n v="52919.999999999993"/>
  </r>
  <r>
    <d v="2025-01-21T00:00:00"/>
    <n v="6"/>
    <x v="4"/>
    <n v="10"/>
    <n v="7559.9999999999991"/>
    <n v="75599.999999999985"/>
  </r>
  <r>
    <d v="2025-01-22T00:00:00"/>
    <n v="3"/>
    <x v="5"/>
    <n v="5"/>
    <n v="5120"/>
    <n v="25600"/>
  </r>
  <r>
    <d v="2025-01-22T00:00:00"/>
    <n v="3"/>
    <x v="5"/>
    <n v="6"/>
    <n v="5120"/>
    <n v="30720"/>
  </r>
  <r>
    <d v="2025-01-22T00:00:00"/>
    <n v="4"/>
    <x v="0"/>
    <n v="9"/>
    <n v="10385"/>
    <n v="93465"/>
  </r>
  <r>
    <d v="2025-01-22T00:00:00"/>
    <n v="1"/>
    <x v="2"/>
    <n v="10"/>
    <n v="12325"/>
    <n v="123250"/>
  </r>
  <r>
    <d v="2025-01-22T00:00:00"/>
    <n v="1"/>
    <x v="2"/>
    <n v="10"/>
    <n v="12325"/>
    <n v="123250"/>
  </r>
  <r>
    <d v="2025-01-23T00:00:00"/>
    <n v="3"/>
    <x v="5"/>
    <n v="1"/>
    <n v="5120"/>
    <n v="5120"/>
  </r>
  <r>
    <d v="2025-01-23T00:00:00"/>
    <n v="3"/>
    <x v="5"/>
    <n v="6"/>
    <n v="5120"/>
    <n v="30720"/>
  </r>
  <r>
    <d v="2025-01-23T00:00:00"/>
    <n v="2"/>
    <x v="1"/>
    <n v="9"/>
    <n v="11700"/>
    <n v="105300"/>
  </r>
  <r>
    <d v="2025-01-23T00:00:00"/>
    <n v="1"/>
    <x v="2"/>
    <n v="2"/>
    <n v="12325"/>
    <n v="24650"/>
  </r>
  <r>
    <d v="2025-01-23T00:00:00"/>
    <n v="6"/>
    <x v="4"/>
    <n v="5"/>
    <n v="7559.9999999999991"/>
    <n v="37799.999999999993"/>
  </r>
  <r>
    <d v="2025-01-23T00:00:00"/>
    <n v="6"/>
    <x v="4"/>
    <n v="10"/>
    <n v="7559.9999999999991"/>
    <n v="75599.999999999985"/>
  </r>
  <r>
    <d v="2025-01-24T00:00:00"/>
    <n v="3"/>
    <x v="5"/>
    <n v="3"/>
    <n v="5120"/>
    <n v="15360"/>
  </r>
  <r>
    <d v="2025-01-24T00:00:00"/>
    <n v="3"/>
    <x v="5"/>
    <n v="4"/>
    <n v="5120"/>
    <n v="20480"/>
  </r>
  <r>
    <d v="2025-01-24T00:00:00"/>
    <n v="4"/>
    <x v="0"/>
    <n v="6"/>
    <n v="10385"/>
    <n v="62310"/>
  </r>
  <r>
    <d v="2025-01-24T00:00:00"/>
    <n v="2"/>
    <x v="1"/>
    <n v="7"/>
    <n v="11700"/>
    <n v="81900"/>
  </r>
  <r>
    <d v="2025-01-24T00:00:00"/>
    <n v="2"/>
    <x v="1"/>
    <n v="10"/>
    <n v="11700"/>
    <n v="117000"/>
  </r>
  <r>
    <d v="2025-01-24T00:00:00"/>
    <n v="1"/>
    <x v="2"/>
    <n v="10"/>
    <n v="12325"/>
    <n v="123250"/>
  </r>
  <r>
    <d v="2025-01-24T00:00:00"/>
    <n v="5"/>
    <x v="3"/>
    <n v="7"/>
    <n v="7425"/>
    <n v="51975"/>
  </r>
  <r>
    <d v="2025-01-24T00:00:00"/>
    <n v="6"/>
    <x v="4"/>
    <n v="2"/>
    <n v="7559.9999999999991"/>
    <n v="15119.999999999998"/>
  </r>
  <r>
    <d v="2025-01-24T00:00:00"/>
    <n v="6"/>
    <x v="4"/>
    <n v="7"/>
    <n v="7559.9999999999991"/>
    <n v="52919.999999999993"/>
  </r>
  <r>
    <d v="2025-01-24T00:00:00"/>
    <n v="6"/>
    <x v="4"/>
    <n v="8"/>
    <n v="7559.9999999999991"/>
    <n v="60479.999999999993"/>
  </r>
  <r>
    <d v="2025-01-24T00:00:00"/>
    <n v="6"/>
    <x v="4"/>
    <n v="10"/>
    <n v="7559.9999999999991"/>
    <n v="75599.999999999985"/>
  </r>
  <r>
    <d v="2025-01-24T00:00:00"/>
    <n v="6"/>
    <x v="4"/>
    <n v="10"/>
    <n v="7559.9999999999991"/>
    <n v="75599.999999999985"/>
  </r>
  <r>
    <d v="2025-01-25T00:00:00"/>
    <n v="3"/>
    <x v="5"/>
    <n v="5"/>
    <n v="5120"/>
    <n v="25600"/>
  </r>
  <r>
    <d v="2025-01-25T00:00:00"/>
    <n v="4"/>
    <x v="0"/>
    <n v="1"/>
    <n v="10385"/>
    <n v="10385"/>
  </r>
  <r>
    <d v="2025-01-25T00:00:00"/>
    <n v="4"/>
    <x v="0"/>
    <n v="2"/>
    <n v="10385"/>
    <n v="20770"/>
  </r>
  <r>
    <d v="2025-01-25T00:00:00"/>
    <n v="4"/>
    <x v="0"/>
    <n v="2"/>
    <n v="10385"/>
    <n v="20770"/>
  </r>
  <r>
    <d v="2025-01-25T00:00:00"/>
    <n v="2"/>
    <x v="1"/>
    <n v="4"/>
    <n v="11700"/>
    <n v="46800"/>
  </r>
  <r>
    <d v="2025-01-25T00:00:00"/>
    <n v="2"/>
    <x v="1"/>
    <n v="5"/>
    <n v="11700"/>
    <n v="58500"/>
  </r>
  <r>
    <d v="2025-01-25T00:00:00"/>
    <n v="2"/>
    <x v="1"/>
    <n v="9"/>
    <n v="11700"/>
    <n v="105300"/>
  </r>
  <r>
    <d v="2025-01-25T00:00:00"/>
    <n v="1"/>
    <x v="2"/>
    <n v="1"/>
    <n v="12325"/>
    <n v="12325"/>
  </r>
  <r>
    <d v="2025-01-25T00:00:00"/>
    <n v="5"/>
    <x v="3"/>
    <n v="6"/>
    <n v="7425"/>
    <n v="44550"/>
  </r>
  <r>
    <d v="2025-01-25T00:00:00"/>
    <n v="5"/>
    <x v="3"/>
    <n v="8"/>
    <n v="7425"/>
    <n v="59400"/>
  </r>
  <r>
    <d v="2025-01-25T00:00:00"/>
    <n v="6"/>
    <x v="4"/>
    <n v="1"/>
    <n v="7559.9999999999991"/>
    <n v="7559.9999999999991"/>
  </r>
  <r>
    <d v="2025-01-25T00:00:00"/>
    <n v="6"/>
    <x v="4"/>
    <n v="6"/>
    <n v="7559.9999999999991"/>
    <n v="45359.999999999993"/>
  </r>
  <r>
    <d v="2025-01-25T00:00:00"/>
    <n v="6"/>
    <x v="4"/>
    <n v="6"/>
    <n v="7559.9999999999991"/>
    <n v="45359.999999999993"/>
  </r>
  <r>
    <d v="2025-01-26T00:00:00"/>
    <n v="4"/>
    <x v="0"/>
    <n v="2"/>
    <n v="10385"/>
    <n v="20770"/>
  </r>
  <r>
    <d v="2025-01-26T00:00:00"/>
    <n v="4"/>
    <x v="0"/>
    <n v="8"/>
    <n v="10385"/>
    <n v="83080"/>
  </r>
  <r>
    <d v="2025-01-26T00:00:00"/>
    <n v="1"/>
    <x v="2"/>
    <n v="6"/>
    <n v="12325"/>
    <n v="73950"/>
  </r>
  <r>
    <d v="2025-01-26T00:00:00"/>
    <n v="1"/>
    <x v="2"/>
    <n v="10"/>
    <n v="12325"/>
    <n v="123250"/>
  </r>
  <r>
    <d v="2025-01-26T00:00:00"/>
    <n v="5"/>
    <x v="3"/>
    <n v="4"/>
    <n v="7425"/>
    <n v="29700"/>
  </r>
  <r>
    <d v="2025-01-26T00:00:00"/>
    <n v="5"/>
    <x v="3"/>
    <n v="8"/>
    <n v="7425"/>
    <n v="59400"/>
  </r>
  <r>
    <d v="2025-01-26T00:00:00"/>
    <n v="6"/>
    <x v="4"/>
    <n v="5"/>
    <n v="7559.9999999999991"/>
    <n v="37799.999999999993"/>
  </r>
  <r>
    <d v="2025-01-26T00:00:00"/>
    <n v="6"/>
    <x v="4"/>
    <n v="8"/>
    <n v="7559.9999999999991"/>
    <n v="60479.999999999993"/>
  </r>
  <r>
    <d v="2025-01-26T00:00:00"/>
    <n v="6"/>
    <x v="4"/>
    <n v="8"/>
    <n v="7559.9999999999991"/>
    <n v="60479.999999999993"/>
  </r>
  <r>
    <d v="2025-01-27T00:00:00"/>
    <n v="3"/>
    <x v="5"/>
    <n v="5"/>
    <n v="5120"/>
    <n v="25600"/>
  </r>
  <r>
    <d v="2025-01-27T00:00:00"/>
    <n v="3"/>
    <x v="5"/>
    <n v="6"/>
    <n v="5120"/>
    <n v="30720"/>
  </r>
  <r>
    <d v="2025-01-27T00:00:00"/>
    <n v="3"/>
    <x v="5"/>
    <n v="6"/>
    <n v="5120"/>
    <n v="30720"/>
  </r>
  <r>
    <d v="2025-01-27T00:00:00"/>
    <n v="3"/>
    <x v="5"/>
    <n v="7"/>
    <n v="5120"/>
    <n v="35840"/>
  </r>
  <r>
    <d v="2025-01-27T00:00:00"/>
    <n v="5"/>
    <x v="3"/>
    <n v="1"/>
    <n v="7425"/>
    <n v="7425"/>
  </r>
  <r>
    <d v="2025-01-27T00:00:00"/>
    <n v="5"/>
    <x v="3"/>
    <n v="2"/>
    <n v="7425"/>
    <n v="14850"/>
  </r>
  <r>
    <d v="2025-01-27T00:00:00"/>
    <n v="6"/>
    <x v="4"/>
    <n v="9"/>
    <n v="7559.9999999999991"/>
    <n v="68039.999999999985"/>
  </r>
  <r>
    <d v="2025-01-28T00:00:00"/>
    <n v="3"/>
    <x v="5"/>
    <n v="7"/>
    <n v="5120"/>
    <n v="35840"/>
  </r>
  <r>
    <d v="2025-01-28T00:00:00"/>
    <n v="3"/>
    <x v="5"/>
    <n v="10"/>
    <n v="5120"/>
    <n v="51200"/>
  </r>
  <r>
    <d v="2025-01-28T00:00:00"/>
    <n v="4"/>
    <x v="0"/>
    <n v="3"/>
    <n v="10385"/>
    <n v="31155"/>
  </r>
  <r>
    <d v="2025-01-28T00:00:00"/>
    <n v="2"/>
    <x v="1"/>
    <n v="5"/>
    <n v="11700"/>
    <n v="58500"/>
  </r>
  <r>
    <d v="2025-01-28T00:00:00"/>
    <n v="2"/>
    <x v="1"/>
    <n v="7"/>
    <n v="11700"/>
    <n v="81900"/>
  </r>
  <r>
    <d v="2025-01-28T00:00:00"/>
    <n v="1"/>
    <x v="2"/>
    <n v="7"/>
    <n v="12325"/>
    <n v="86275"/>
  </r>
  <r>
    <d v="2025-01-28T00:00:00"/>
    <n v="1"/>
    <x v="2"/>
    <n v="10"/>
    <n v="12325"/>
    <n v="123250"/>
  </r>
  <r>
    <d v="2025-01-28T00:00:00"/>
    <n v="5"/>
    <x v="3"/>
    <n v="3"/>
    <n v="7425"/>
    <n v="22275"/>
  </r>
  <r>
    <d v="2025-01-28T00:00:00"/>
    <n v="5"/>
    <x v="3"/>
    <n v="4"/>
    <n v="7425"/>
    <n v="29700"/>
  </r>
  <r>
    <d v="2025-01-28T00:00:00"/>
    <n v="6"/>
    <x v="4"/>
    <n v="3"/>
    <n v="7559.9999999999991"/>
    <n v="22679.999999999996"/>
  </r>
  <r>
    <d v="2025-01-28T00:00:00"/>
    <n v="6"/>
    <x v="4"/>
    <n v="6"/>
    <n v="7559.9999999999991"/>
    <n v="45359.999999999993"/>
  </r>
  <r>
    <d v="2025-01-28T00:00:00"/>
    <n v="6"/>
    <x v="4"/>
    <n v="10"/>
    <n v="7559.9999999999991"/>
    <n v="75599.999999999985"/>
  </r>
  <r>
    <d v="2025-01-29T00:00:00"/>
    <n v="3"/>
    <x v="5"/>
    <n v="1"/>
    <n v="5120"/>
    <n v="5120"/>
  </r>
  <r>
    <d v="2025-01-29T00:00:00"/>
    <n v="3"/>
    <x v="5"/>
    <n v="10"/>
    <n v="5120"/>
    <n v="51200"/>
  </r>
  <r>
    <d v="2025-01-29T00:00:00"/>
    <n v="4"/>
    <x v="0"/>
    <n v="6"/>
    <n v="10385"/>
    <n v="62310"/>
  </r>
  <r>
    <d v="2025-01-29T00:00:00"/>
    <n v="4"/>
    <x v="0"/>
    <n v="8"/>
    <n v="10385"/>
    <n v="83080"/>
  </r>
  <r>
    <d v="2025-01-29T00:00:00"/>
    <n v="2"/>
    <x v="1"/>
    <n v="7"/>
    <n v="11700"/>
    <n v="81900"/>
  </r>
  <r>
    <d v="2025-01-29T00:00:00"/>
    <n v="1"/>
    <x v="2"/>
    <n v="1"/>
    <n v="12325"/>
    <n v="12325"/>
  </r>
  <r>
    <d v="2025-01-29T00:00:00"/>
    <n v="1"/>
    <x v="2"/>
    <n v="2"/>
    <n v="12325"/>
    <n v="24650"/>
  </r>
  <r>
    <d v="2025-01-29T00:00:00"/>
    <n v="5"/>
    <x v="3"/>
    <n v="8"/>
    <n v="7425"/>
    <n v="59400"/>
  </r>
  <r>
    <d v="2025-01-30T00:00:00"/>
    <n v="4"/>
    <x v="0"/>
    <n v="6"/>
    <n v="10385"/>
    <n v="62310"/>
  </r>
  <r>
    <d v="2025-01-30T00:00:00"/>
    <n v="4"/>
    <x v="0"/>
    <n v="6"/>
    <n v="10385"/>
    <n v="62310"/>
  </r>
  <r>
    <d v="2025-01-30T00:00:00"/>
    <n v="2"/>
    <x v="1"/>
    <n v="5"/>
    <n v="11700"/>
    <n v="58500"/>
  </r>
  <r>
    <d v="2025-01-30T00:00:00"/>
    <n v="2"/>
    <x v="1"/>
    <n v="5"/>
    <n v="11700"/>
    <n v="58500"/>
  </r>
  <r>
    <d v="2025-01-30T00:00:00"/>
    <n v="1"/>
    <x v="2"/>
    <n v="3"/>
    <n v="12325"/>
    <n v="36975"/>
  </r>
  <r>
    <d v="2025-01-30T00:00:00"/>
    <n v="6"/>
    <x v="4"/>
    <n v="2"/>
    <n v="7559.9999999999991"/>
    <n v="15119.9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5ADE7-2BEE-474F-B911-5D91E9845A91}" name="Сводная таблица2" cacheId="22" applyNumberFormats="0" applyBorderFormats="0" applyFontFormats="0" applyPatternFormats="0" applyAlignmentFormats="0" applyWidthHeightFormats="1" dataCaption="Значения" updatedVersion="8" minRefreshableVersion="3" asteriskTotals="1" showMemberPropertyTips="0" useAutoFormatting="1" pageOverThenDown="1" itemPrintTitles="1" createdVersion="8" indent="0" outline="1" outlineData="1" multipleFieldFilters="0">
  <location ref="G10:H17" firstHeaderRow="1" firstDataRow="1" firstDataCol="1"/>
  <pivotFields count="6"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5"/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96257D-9F6D-450A-B242-D206EA07EFA0}" name="Таблица1" displayName="Таблица1" ref="C11:H310" totalsRowShown="0" headerRowDxfId="21" headerRowBorderDxfId="20" tableBorderDxfId="19" totalsRowBorderDxfId="18">
  <tableColumns count="6">
    <tableColumn id="1" xr3:uid="{BB4238C0-493C-4409-BE55-E1D46F94486C}" name="Дата продажи" dataDxfId="17"/>
    <tableColumn id="2" xr3:uid="{29F9CBF5-A801-4331-8E3D-30E4F42827B8}" name="Код товара" dataDxfId="16"/>
    <tableColumn id="3" xr3:uid="{8D5CBC01-6EDC-4F46-A665-0BB4DD87AE38}" name="Наименовние" dataDxfId="15">
      <calculatedColumnFormula>VLOOKUP(D12,Справочник_товары,2)</calculatedColumnFormula>
    </tableColumn>
    <tableColumn id="4" xr3:uid="{86283100-B619-4C15-BD81-956385C3B2CA}" name="Количество" dataDxfId="14"/>
    <tableColumn id="5" xr3:uid="{8D84A700-666D-4E93-9F05-D4154512A022}" name="Цена" dataDxfId="13">
      <calculatedColumnFormula>VLOOKUP(D12,Справочник_товары,4) * (1 +VLOOKUP(D12,Справочник_товары,5))</calculatedColumnFormula>
    </tableColumn>
    <tableColumn id="6" xr3:uid="{1C171E7E-BBD0-46AC-8A71-E7FABDBC631D}" name="Сумма" dataDxfId="12">
      <calculatedColumnFormula>F12*G12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85A1F-ED85-4F4D-8731-AB1C7E29AA29}" name="Таблица2" displayName="Таблица2" ref="C11:I313" totalsRowShown="0" headerRowDxfId="11" dataDxfId="9" headerRowBorderDxfId="10" tableBorderDxfId="8" totalsRowBorderDxfId="7">
  <autoFilter ref="C11:I313" xr:uid="{A2085A1F-ED85-4F4D-8731-AB1C7E29AA29}"/>
  <tableColumns count="7">
    <tableColumn id="1" xr3:uid="{904E0B02-AF0B-429F-8C3A-FF074F37EE57}" name="Дата продажи" dataDxfId="6"/>
    <tableColumn id="2" xr3:uid="{F39E1896-C933-457B-9581-743DC48CAFD1}" name="Код товара" dataDxfId="5"/>
    <tableColumn id="3" xr3:uid="{B61F004E-03C8-4BCB-94C9-F69DB8B82C1C}" name="Наименовние" dataDxfId="4">
      <calculatedColumnFormula>VLOOKUP(D12,Справочник_товары,2)</calculatedColumnFormula>
    </tableColumn>
    <tableColumn id="4" xr3:uid="{34B91487-7881-4523-AEC0-F296E10516AB}" name="Количество" dataDxfId="3"/>
    <tableColumn id="5" xr3:uid="{3D506981-DF73-40A2-9DA9-596EEB5FB81D}" name="Цена" dataDxfId="2">
      <calculatedColumnFormula>VLOOKUP(D12,Справочник_товары,4) * (1 +VLOOKUP(D12,Справочник_товары,5))</calculatedColumnFormula>
    </tableColumn>
    <tableColumn id="6" xr3:uid="{C98200C7-C636-4388-AFBA-C783DF01C17D}" name="Сумма" dataDxfId="1">
      <calculatedColumnFormula>F12*G12</calculatedColumnFormula>
    </tableColumn>
    <tableColumn id="7" xr3:uid="{5668E35F-2518-4B1D-AC8D-DADE1A535F97}" name="Код поставщика" dataDxfId="0">
      <calculatedColumnFormula>VLOOKUP(D12,Справочник_товары,6)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trlProp" Target="../ctrlProps/ctrlProp8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20.xml"/><Relationship Id="rId12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9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19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showGridLines="0" showRowColHeaders="0" workbookViewId="0">
      <selection activeCell="M15" sqref="M15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2:F32"/>
  <sheetViews>
    <sheetView showGridLines="0" showRowColHeaders="0" workbookViewId="0">
      <selection activeCell="I10" sqref="I10"/>
    </sheetView>
  </sheetViews>
  <sheetFormatPr defaultRowHeight="14.5" x14ac:dyDescent="0.35"/>
  <sheetData>
    <row r="2" spans="2:6" x14ac:dyDescent="0.35">
      <c r="B2" s="12"/>
      <c r="C2" s="12"/>
      <c r="D2" s="12"/>
      <c r="E2" s="12"/>
      <c r="F2" s="12"/>
    </row>
    <row r="3" spans="2:6" x14ac:dyDescent="0.35">
      <c r="B3" s="12"/>
      <c r="C3" s="12"/>
      <c r="D3" s="12"/>
      <c r="E3" s="12"/>
      <c r="F3" s="12"/>
    </row>
    <row r="4" spans="2:6" x14ac:dyDescent="0.35">
      <c r="B4" s="12"/>
      <c r="C4" s="12"/>
      <c r="D4" s="12"/>
      <c r="E4" s="12"/>
      <c r="F4" s="12"/>
    </row>
    <row r="5" spans="2:6" x14ac:dyDescent="0.35">
      <c r="B5" s="12"/>
      <c r="C5" s="12"/>
      <c r="D5" s="12"/>
      <c r="E5" s="12"/>
      <c r="F5" s="12"/>
    </row>
    <row r="6" spans="2:6" x14ac:dyDescent="0.35">
      <c r="B6" s="12"/>
      <c r="C6" s="12"/>
      <c r="D6" s="12"/>
      <c r="E6" s="12"/>
      <c r="F6" s="12"/>
    </row>
    <row r="7" spans="2:6" x14ac:dyDescent="0.35">
      <c r="B7" s="12"/>
      <c r="C7" s="12"/>
      <c r="D7" s="12"/>
      <c r="E7" s="12"/>
      <c r="F7" s="12"/>
    </row>
    <row r="8" spans="2:6" x14ac:dyDescent="0.35">
      <c r="B8" s="12"/>
      <c r="C8" s="12"/>
      <c r="D8" s="12"/>
      <c r="E8" s="12"/>
      <c r="F8" s="12"/>
    </row>
    <row r="9" spans="2:6" x14ac:dyDescent="0.35">
      <c r="B9" s="12"/>
      <c r="C9" s="12"/>
      <c r="D9" s="12"/>
      <c r="E9" s="12"/>
      <c r="F9" s="12"/>
    </row>
    <row r="10" spans="2:6" x14ac:dyDescent="0.35">
      <c r="B10" s="12"/>
      <c r="C10" s="12"/>
      <c r="D10" s="12"/>
      <c r="E10" s="12"/>
      <c r="F10" s="12"/>
    </row>
    <row r="11" spans="2:6" x14ac:dyDescent="0.35">
      <c r="B11" s="12"/>
      <c r="C11" s="12"/>
      <c r="D11" s="12"/>
      <c r="E11" s="12"/>
      <c r="F11" s="12"/>
    </row>
    <row r="12" spans="2:6" x14ac:dyDescent="0.35">
      <c r="B12" s="12"/>
      <c r="C12" s="12"/>
      <c r="D12" s="12"/>
      <c r="E12" s="12"/>
      <c r="F12" s="12"/>
    </row>
    <row r="13" spans="2:6" x14ac:dyDescent="0.35">
      <c r="B13" s="12"/>
      <c r="C13" s="12"/>
      <c r="D13" s="12"/>
      <c r="E13" s="12"/>
      <c r="F13" s="12"/>
    </row>
    <row r="14" spans="2:6" x14ac:dyDescent="0.35">
      <c r="B14" s="12"/>
      <c r="C14" s="12"/>
      <c r="D14" s="12"/>
      <c r="E14" s="12"/>
      <c r="F14" s="12"/>
    </row>
    <row r="15" spans="2:6" x14ac:dyDescent="0.35">
      <c r="B15" s="12"/>
      <c r="C15" s="12"/>
      <c r="D15" s="12"/>
      <c r="E15" s="12"/>
      <c r="F15" s="12"/>
    </row>
    <row r="16" spans="2:6" x14ac:dyDescent="0.35">
      <c r="B16" s="12"/>
      <c r="C16" s="12"/>
      <c r="D16" s="12"/>
      <c r="E16" s="12"/>
      <c r="F16" s="12"/>
    </row>
    <row r="17" spans="2:6" x14ac:dyDescent="0.35">
      <c r="B17" s="12"/>
      <c r="C17" s="12"/>
      <c r="D17" s="12"/>
      <c r="E17" s="12"/>
      <c r="F17" s="12"/>
    </row>
    <row r="18" spans="2:6" x14ac:dyDescent="0.35">
      <c r="B18" s="12"/>
      <c r="C18" s="12"/>
      <c r="D18" s="12"/>
      <c r="E18" s="12"/>
      <c r="F18" s="12"/>
    </row>
    <row r="19" spans="2:6" x14ac:dyDescent="0.35">
      <c r="B19" s="12"/>
      <c r="C19" s="12"/>
      <c r="D19" s="12"/>
      <c r="E19" s="12"/>
      <c r="F19" s="12"/>
    </row>
    <row r="20" spans="2:6" x14ac:dyDescent="0.35">
      <c r="B20" s="12"/>
      <c r="C20" s="12"/>
      <c r="D20" s="12"/>
      <c r="E20" s="12"/>
      <c r="F20" s="12"/>
    </row>
    <row r="21" spans="2:6" x14ac:dyDescent="0.35">
      <c r="B21" s="12"/>
      <c r="C21" s="12"/>
      <c r="D21" s="12"/>
      <c r="E21" s="12"/>
      <c r="F21" s="12"/>
    </row>
    <row r="22" spans="2:6" x14ac:dyDescent="0.35">
      <c r="B22" s="12"/>
      <c r="C22" s="12"/>
      <c r="D22" s="12"/>
      <c r="E22" s="12"/>
      <c r="F22" s="12"/>
    </row>
    <row r="23" spans="2:6" x14ac:dyDescent="0.35">
      <c r="B23" s="12"/>
      <c r="C23" s="12"/>
      <c r="D23" s="12"/>
      <c r="E23" s="12"/>
      <c r="F23" s="12"/>
    </row>
    <row r="24" spans="2:6" x14ac:dyDescent="0.35">
      <c r="B24" s="12"/>
      <c r="C24" s="12"/>
      <c r="D24" s="12"/>
      <c r="E24" s="12"/>
      <c r="F24" s="12"/>
    </row>
    <row r="25" spans="2:6" x14ac:dyDescent="0.35">
      <c r="B25" s="12"/>
      <c r="C25" s="12"/>
      <c r="D25" s="12"/>
      <c r="E25" s="12"/>
      <c r="F25" s="12"/>
    </row>
    <row r="26" spans="2:6" x14ac:dyDescent="0.35">
      <c r="B26" s="12"/>
      <c r="C26" s="12"/>
      <c r="D26" s="12"/>
      <c r="E26" s="12"/>
      <c r="F26" s="12"/>
    </row>
    <row r="27" spans="2:6" x14ac:dyDescent="0.35">
      <c r="B27" s="12"/>
      <c r="C27" s="12"/>
      <c r="D27" s="12"/>
      <c r="E27" s="12"/>
      <c r="F27" s="12"/>
    </row>
    <row r="28" spans="2:6" x14ac:dyDescent="0.35">
      <c r="B28" s="12"/>
      <c r="C28" s="12"/>
      <c r="D28" s="12"/>
      <c r="E28" s="12"/>
      <c r="F28" s="12"/>
    </row>
    <row r="29" spans="2:6" x14ac:dyDescent="0.35">
      <c r="B29" s="12"/>
      <c r="C29" s="12"/>
      <c r="D29" s="12"/>
      <c r="E29" s="12"/>
      <c r="F29" s="12"/>
    </row>
    <row r="30" spans="2:6" x14ac:dyDescent="0.35">
      <c r="B30" s="12"/>
      <c r="C30" s="12"/>
      <c r="D30" s="12"/>
      <c r="E30" s="12"/>
      <c r="F30" s="12"/>
    </row>
    <row r="31" spans="2:6" x14ac:dyDescent="0.35">
      <c r="B31" s="12"/>
      <c r="C31" s="12"/>
      <c r="D31" s="12"/>
      <c r="E31" s="12"/>
      <c r="F31" s="12"/>
    </row>
    <row r="32" spans="2:6" x14ac:dyDescent="0.35">
      <c r="B32" s="12"/>
      <c r="C32" s="12"/>
      <c r="D32" s="12"/>
      <c r="E32" s="12"/>
      <c r="F32" s="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CommandButton10">
          <controlPr defaultSize="0" autoLine="0" r:id="rId4">
            <anchor moveWithCells="1">
              <from>
                <xdr:col>2</xdr:col>
                <xdr:colOff>19050</xdr:colOff>
                <xdr:row>29</xdr:row>
                <xdr:rowOff>12700</xdr:rowOff>
              </from>
              <to>
                <xdr:col>4</xdr:col>
                <xdr:colOff>603250</xdr:colOff>
                <xdr:row>31</xdr:row>
                <xdr:rowOff>25400</xdr:rowOff>
              </to>
            </anchor>
          </controlPr>
        </control>
      </mc:Choice>
      <mc:Fallback>
        <control shapeId="1035" r:id="rId3" name="CommandButton10"/>
      </mc:Fallback>
    </mc:AlternateContent>
    <mc:AlternateContent xmlns:mc="http://schemas.openxmlformats.org/markup-compatibility/2006">
      <mc:Choice Requires="x14">
        <control shapeId="1033" r:id="rId5" name="CommandButton9">
          <controlPr defaultSize="0" autoLine="0" r:id="rId6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5" name="CommandButton9"/>
      </mc:Fallback>
    </mc:AlternateContent>
    <mc:AlternateContent xmlns:mc="http://schemas.openxmlformats.org/markup-compatibility/2006">
      <mc:Choice Requires="x14">
        <control shapeId="1032" r:id="rId7" name="CommandButton8">
          <controlPr defaultSize="0" autoLine="0" r:id="rId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7" name="CommandButton8"/>
      </mc:Fallback>
    </mc:AlternateContent>
    <mc:AlternateContent xmlns:mc="http://schemas.openxmlformats.org/markup-compatibility/2006">
      <mc:Choice Requires="x14">
        <control shapeId="1031" r:id="rId9" name="CommandButton7">
          <controlPr defaultSize="0" autoLine="0" r:id="rId10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9" name="CommandButton7"/>
      </mc:Fallback>
    </mc:AlternateContent>
    <mc:AlternateContent xmlns:mc="http://schemas.openxmlformats.org/markup-compatibility/2006">
      <mc:Choice Requires="x14">
        <control shapeId="1030" r:id="rId11" name="CommandButton6">
          <controlPr defaultSize="0" autoLine="0" r:id="rId12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1" name="CommandButton6"/>
      </mc:Fallback>
    </mc:AlternateContent>
    <mc:AlternateContent xmlns:mc="http://schemas.openxmlformats.org/markup-compatibility/2006">
      <mc:Choice Requires="x14">
        <control shapeId="1029" r:id="rId13" name="CommandButton5">
          <controlPr defaultSize="0" autoLine="0" r:id="rId14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3" name="CommandButton5"/>
      </mc:Fallback>
    </mc:AlternateContent>
    <mc:AlternateContent xmlns:mc="http://schemas.openxmlformats.org/markup-compatibility/2006">
      <mc:Choice Requires="x14">
        <control shapeId="1028" r:id="rId15" name="CommandButton4">
          <controlPr defaultSize="0" autoLine="0" r:id="rId16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15" name="CommandButton4"/>
      </mc:Fallback>
    </mc:AlternateContent>
    <mc:AlternateContent xmlns:mc="http://schemas.openxmlformats.org/markup-compatibility/2006">
      <mc:Choice Requires="x14">
        <control shapeId="1027" r:id="rId17" name="CommandButton3">
          <controlPr defaultSize="0" autoLine="0" r:id="rId1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17" name="CommandButton3"/>
      </mc:Fallback>
    </mc:AlternateContent>
    <mc:AlternateContent xmlns:mc="http://schemas.openxmlformats.org/markup-compatibility/2006">
      <mc:Choice Requires="x14">
        <control shapeId="1026" r:id="rId19" name="CommandButton2">
          <controlPr defaultSize="0" autoLine="0" r:id="rId20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19" name="CommandButton2"/>
      </mc:Fallback>
    </mc:AlternateContent>
    <mc:AlternateContent xmlns:mc="http://schemas.openxmlformats.org/markup-compatibility/2006">
      <mc:Choice Requires="x14">
        <control shapeId="1025" r:id="rId21" name="CommandButton1">
          <controlPr defaultSize="0" autoLine="0" r:id="rId22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2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K5" sqref="K5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3" t="s">
        <v>1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4" t="s">
        <v>21</v>
      </c>
    </row>
    <row r="3" spans="2:8" ht="43.5" x14ac:dyDescent="0.35">
      <c r="B3" s="2">
        <v>1</v>
      </c>
      <c r="C3" s="2" t="s">
        <v>11</v>
      </c>
      <c r="D3" s="2">
        <v>1</v>
      </c>
      <c r="E3" s="2">
        <v>8500</v>
      </c>
      <c r="F3" s="5">
        <v>0.45</v>
      </c>
      <c r="G3" s="2">
        <v>1</v>
      </c>
      <c r="H3" s="18" t="s">
        <v>22</v>
      </c>
    </row>
    <row r="4" spans="2:8" ht="43.5" x14ac:dyDescent="0.35">
      <c r="B4" s="2">
        <v>2</v>
      </c>
      <c r="C4" s="2" t="s">
        <v>12</v>
      </c>
      <c r="D4" s="2">
        <v>1</v>
      </c>
      <c r="E4" s="2">
        <v>7800</v>
      </c>
      <c r="F4" s="5">
        <v>0.5</v>
      </c>
      <c r="G4" s="2">
        <v>1</v>
      </c>
      <c r="H4" s="18" t="s">
        <v>23</v>
      </c>
    </row>
    <row r="5" spans="2:8" ht="43.5" x14ac:dyDescent="0.35">
      <c r="B5" s="2">
        <v>3</v>
      </c>
      <c r="C5" s="2" t="s">
        <v>15</v>
      </c>
      <c r="D5" s="2">
        <v>2</v>
      </c>
      <c r="E5" s="2">
        <v>3200</v>
      </c>
      <c r="F5" s="5">
        <v>0.6</v>
      </c>
      <c r="G5" s="2">
        <v>2</v>
      </c>
      <c r="H5" s="18" t="s">
        <v>24</v>
      </c>
    </row>
    <row r="6" spans="2:8" ht="43.5" x14ac:dyDescent="0.35">
      <c r="B6" s="2">
        <v>4</v>
      </c>
      <c r="C6" s="2" t="s">
        <v>13</v>
      </c>
      <c r="D6" s="2">
        <v>1</v>
      </c>
      <c r="E6" s="2">
        <v>6700</v>
      </c>
      <c r="F6" s="5">
        <v>0.55000000000000004</v>
      </c>
      <c r="G6" s="2">
        <v>3</v>
      </c>
      <c r="H6" s="18" t="s">
        <v>25</v>
      </c>
    </row>
    <row r="7" spans="2:8" ht="43.5" x14ac:dyDescent="0.35">
      <c r="B7" s="2">
        <v>5</v>
      </c>
      <c r="C7" s="2" t="s">
        <v>14</v>
      </c>
      <c r="D7" s="2">
        <v>2</v>
      </c>
      <c r="E7" s="2">
        <v>4500</v>
      </c>
      <c r="F7" s="5">
        <v>0.65</v>
      </c>
      <c r="G7" s="2">
        <v>4</v>
      </c>
      <c r="H7" s="18" t="s">
        <v>26</v>
      </c>
    </row>
    <row r="8" spans="2:8" ht="43.5" x14ac:dyDescent="0.35">
      <c r="B8" s="2">
        <v>6</v>
      </c>
      <c r="C8" s="2" t="s">
        <v>16</v>
      </c>
      <c r="D8" s="2">
        <v>3</v>
      </c>
      <c r="E8" s="2">
        <v>5400</v>
      </c>
      <c r="F8" s="5">
        <v>0.4</v>
      </c>
      <c r="G8" s="2">
        <v>4</v>
      </c>
      <c r="H8" s="18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355600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zoomScaleNormal="100" workbookViewId="0">
      <selection activeCell="H5" sqref="H5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6.453125" customWidth="1"/>
    <col min="4" max="4" width="14.26953125" customWidth="1"/>
    <col min="5" max="5" width="23.54296875" customWidth="1"/>
    <col min="6" max="6" width="13.81640625" customWidth="1"/>
    <col min="8" max="8" width="9.1796875" customWidth="1"/>
    <col min="16" max="16" width="9.54296875" customWidth="1"/>
    <col min="17" max="17" width="15.453125" customWidth="1"/>
  </cols>
  <sheetData>
    <row r="1" spans="1:17" x14ac:dyDescent="0.35">
      <c r="A1" s="1"/>
    </row>
    <row r="5" spans="1:17" x14ac:dyDescent="0.35">
      <c r="Q5" t="s">
        <v>0</v>
      </c>
    </row>
    <row r="6" spans="1:17" x14ac:dyDescent="0.35">
      <c r="D6" s="4" t="s">
        <v>0</v>
      </c>
      <c r="E6" s="4" t="s">
        <v>6</v>
      </c>
      <c r="F6" s="4" t="s">
        <v>3</v>
      </c>
      <c r="G6" s="4" t="s">
        <v>4</v>
      </c>
      <c r="H6" s="4" t="s">
        <v>5</v>
      </c>
      <c r="Q6" t="s">
        <v>1</v>
      </c>
    </row>
    <row r="7" spans="1:17" x14ac:dyDescent="0.35">
      <c r="D7" s="10">
        <v>45678</v>
      </c>
      <c r="E7" s="7"/>
      <c r="F7" s="7">
        <v>1</v>
      </c>
      <c r="G7" s="7"/>
      <c r="H7" s="7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21" t="s">
        <v>0</v>
      </c>
      <c r="D11" s="22" t="s">
        <v>1</v>
      </c>
      <c r="E11" s="22" t="s">
        <v>2</v>
      </c>
      <c r="F11" s="22" t="s">
        <v>3</v>
      </c>
      <c r="G11" s="22" t="s">
        <v>4</v>
      </c>
      <c r="H11" s="23" t="s">
        <v>5</v>
      </c>
      <c r="Q11">
        <v>1</v>
      </c>
    </row>
    <row r="12" spans="1:17" ht="29" x14ac:dyDescent="0.35">
      <c r="C12" s="19">
        <v>45658</v>
      </c>
      <c r="D12" s="6">
        <v>4</v>
      </c>
      <c r="E12" s="2" t="str">
        <f>VLOOKUP(D12,Справочник_товары,2)</f>
        <v>Кроссовки дл бега Reebok Floatride</v>
      </c>
      <c r="F12" s="6">
        <v>7</v>
      </c>
      <c r="G12" s="2">
        <f>VLOOKUP(D12,Справочник_товары,4) * (1 +VLOOKUP(D12,Справочник_товары,5))</f>
        <v>10385</v>
      </c>
      <c r="H12" s="20">
        <f>F12*G12</f>
        <v>72695</v>
      </c>
    </row>
    <row r="13" spans="1:17" ht="43.5" x14ac:dyDescent="0.35">
      <c r="C13" s="19">
        <v>45658</v>
      </c>
      <c r="D13" s="6">
        <v>4</v>
      </c>
      <c r="E13" s="2" t="str">
        <f>VLOOKUP(D13,Справочник_товары,2)</f>
        <v>Кроссовки дл бега Reebok Floatride</v>
      </c>
      <c r="F13" s="6">
        <v>9</v>
      </c>
      <c r="G13" s="2">
        <f>VLOOKUP(D13,Справочник_товары,4) * (1 +VLOOKUP(D13,Справочник_товары,5))</f>
        <v>10385</v>
      </c>
      <c r="H13" s="20">
        <f>F13*G13</f>
        <v>93465</v>
      </c>
      <c r="Q13" s="2" t="s">
        <v>11</v>
      </c>
    </row>
    <row r="14" spans="1:17" ht="43.5" x14ac:dyDescent="0.35">
      <c r="C14" s="19">
        <v>45658</v>
      </c>
      <c r="D14" s="6">
        <v>4</v>
      </c>
      <c r="E14" s="2" t="str">
        <f>VLOOKUP(D14,Справочник_товары,2)</f>
        <v>Кроссовки дл бега Reebok Floatride</v>
      </c>
      <c r="F14" s="6">
        <v>10</v>
      </c>
      <c r="G14" s="2">
        <f>VLOOKUP(D14,Справочник_товары,4) * (1 +VLOOKUP(D14,Справочник_товары,5))</f>
        <v>10385</v>
      </c>
      <c r="H14" s="20">
        <f>F14*G14</f>
        <v>103850</v>
      </c>
      <c r="Q14" s="2" t="s">
        <v>12</v>
      </c>
    </row>
    <row r="15" spans="1:17" ht="43.5" x14ac:dyDescent="0.35">
      <c r="C15" s="19">
        <v>45658</v>
      </c>
      <c r="D15" s="6">
        <v>2</v>
      </c>
      <c r="E15" s="2" t="str">
        <f>VLOOKUP(D15,Справочник_товары,2)</f>
        <v>Кроссовки женские Adidas Ultraboost</v>
      </c>
      <c r="F15" s="6">
        <v>1</v>
      </c>
      <c r="G15" s="2">
        <f>VLOOKUP(D15,Справочник_товары,4) * (1 +VLOOKUP(D15,Справочник_товары,5))</f>
        <v>11700</v>
      </c>
      <c r="H15" s="20">
        <f>F15*G15</f>
        <v>11700</v>
      </c>
      <c r="Q15" s="2" t="s">
        <v>15</v>
      </c>
    </row>
    <row r="16" spans="1:17" ht="43.5" x14ac:dyDescent="0.35">
      <c r="C16" s="19">
        <v>45658</v>
      </c>
      <c r="D16" s="6">
        <v>2</v>
      </c>
      <c r="E16" s="2" t="str">
        <f>VLOOKUP(D16,Справочник_товары,2)</f>
        <v>Кроссовки женские Adidas Ultraboost</v>
      </c>
      <c r="F16" s="6">
        <v>2</v>
      </c>
      <c r="G16" s="2">
        <f>VLOOKUP(D16,Справочник_товары,4) * (1 +VLOOKUP(D16,Справочник_товары,5))</f>
        <v>11700</v>
      </c>
      <c r="H16" s="20">
        <f>F16*G16</f>
        <v>23400</v>
      </c>
      <c r="Q16" s="2" t="s">
        <v>13</v>
      </c>
    </row>
    <row r="17" spans="3:17" ht="43.5" x14ac:dyDescent="0.35">
      <c r="C17" s="19">
        <v>45658</v>
      </c>
      <c r="D17" s="6">
        <v>2</v>
      </c>
      <c r="E17" s="2" t="str">
        <f>VLOOKUP(D17,Справочник_товары,2)</f>
        <v>Кроссовки женские Adidas Ultraboost</v>
      </c>
      <c r="F17" s="6">
        <v>7</v>
      </c>
      <c r="G17" s="2">
        <f>VLOOKUP(D17,Справочник_товары,4) * (1 +VLOOKUP(D17,Справочник_товары,5))</f>
        <v>11700</v>
      </c>
      <c r="H17" s="20">
        <f>F17*G17</f>
        <v>81900</v>
      </c>
      <c r="Q17" s="2" t="s">
        <v>14</v>
      </c>
    </row>
    <row r="18" spans="3:17" ht="43.5" x14ac:dyDescent="0.35">
      <c r="C18" s="19">
        <v>45658</v>
      </c>
      <c r="D18" s="6">
        <v>1</v>
      </c>
      <c r="E18" s="2" t="str">
        <f>VLOOKUP(D18,Справочник_товары,2)</f>
        <v>Кроссовки мужские Nike Air Max</v>
      </c>
      <c r="F18" s="6">
        <v>8</v>
      </c>
      <c r="G18" s="2">
        <f>VLOOKUP(D18,Справочник_товары,4) * (1 +VLOOKUP(D18,Справочник_товары,5))</f>
        <v>12325</v>
      </c>
      <c r="H18" s="20">
        <f>F18*G18</f>
        <v>98600</v>
      </c>
      <c r="Q18" s="2" t="s">
        <v>16</v>
      </c>
    </row>
    <row r="19" spans="3:17" ht="29" x14ac:dyDescent="0.35">
      <c r="C19" s="19">
        <v>45658</v>
      </c>
      <c r="D19" s="6">
        <v>5</v>
      </c>
      <c r="E19" s="2" t="str">
        <f>VLOOKUP(D19,Справочник_товары,2)</f>
        <v>Кроссовки повседневные New Balance</v>
      </c>
      <c r="F19" s="6">
        <v>6</v>
      </c>
      <c r="G19" s="2">
        <f>VLOOKUP(D19,Справочник_товары,4) * (1 +VLOOKUP(D19,Справочник_товары,5))</f>
        <v>7425</v>
      </c>
      <c r="H19" s="20">
        <f>F19*G19</f>
        <v>44550</v>
      </c>
    </row>
    <row r="20" spans="3:17" ht="29" x14ac:dyDescent="0.35">
      <c r="C20" s="19">
        <v>45658</v>
      </c>
      <c r="D20" s="6">
        <v>5</v>
      </c>
      <c r="E20" s="2" t="str">
        <f>VLOOKUP(D20,Справочник_товары,2)</f>
        <v>Кроссовки повседневные New Balance</v>
      </c>
      <c r="F20" s="6">
        <v>9</v>
      </c>
      <c r="G20" s="2">
        <f>VLOOKUP(D20,Справочник_товары,4) * (1 +VLOOKUP(D20,Справочник_товары,5))</f>
        <v>7425</v>
      </c>
      <c r="H20" s="20">
        <f>F20*G20</f>
        <v>66825</v>
      </c>
    </row>
    <row r="21" spans="3:17" ht="29" x14ac:dyDescent="0.35">
      <c r="C21" s="19">
        <v>45658</v>
      </c>
      <c r="D21" s="6">
        <v>6</v>
      </c>
      <c r="E21" s="2" t="str">
        <f>VLOOKUP(D21,Справочник_товары,2)</f>
        <v>Кроссовки треккинговые Salomon X-Hike</v>
      </c>
      <c r="F21" s="6">
        <v>2</v>
      </c>
      <c r="G21" s="2">
        <f>VLOOKUP(D21,Справочник_товары,4) * (1 +VLOOKUP(D21,Справочник_товары,5))</f>
        <v>7559.9999999999991</v>
      </c>
      <c r="H21" s="20">
        <f>F21*G21</f>
        <v>15119.999999999998</v>
      </c>
    </row>
    <row r="22" spans="3:17" ht="29" x14ac:dyDescent="0.35">
      <c r="C22" s="19">
        <v>45658</v>
      </c>
      <c r="D22" s="6">
        <v>6</v>
      </c>
      <c r="E22" s="2" t="str">
        <f>VLOOKUP(D22,Справочник_товары,2)</f>
        <v>Кроссовки треккинговые Salomon X-Hike</v>
      </c>
      <c r="F22" s="6">
        <v>3</v>
      </c>
      <c r="G22" s="2">
        <f>VLOOKUP(D22,Справочник_товары,4) * (1 +VLOOKUP(D22,Справочник_товары,5))</f>
        <v>7559.9999999999991</v>
      </c>
      <c r="H22" s="20">
        <f>F22*G22</f>
        <v>22679.999999999996</v>
      </c>
    </row>
    <row r="23" spans="3:17" ht="29" x14ac:dyDescent="0.35">
      <c r="C23" s="19">
        <v>45659</v>
      </c>
      <c r="D23" s="6">
        <v>3</v>
      </c>
      <c r="E23" s="2" t="str">
        <f>VLOOKUP(D23,Справочник_товары,2)</f>
        <v>Кросовки детские Puma Play</v>
      </c>
      <c r="F23" s="6">
        <v>2</v>
      </c>
      <c r="G23" s="2">
        <f>VLOOKUP(D23,Справочник_товары,4) * (1 +VLOOKUP(D23,Справочник_товары,5))</f>
        <v>5120</v>
      </c>
      <c r="H23" s="20">
        <f>F23*G23</f>
        <v>10240</v>
      </c>
    </row>
    <row r="24" spans="3:17" ht="29" x14ac:dyDescent="0.35">
      <c r="C24" s="19">
        <v>45659</v>
      </c>
      <c r="D24" s="6">
        <v>3</v>
      </c>
      <c r="E24" s="2" t="str">
        <f>VLOOKUP(D24,Справочник_товары,2)</f>
        <v>Кросовки детские Puma Play</v>
      </c>
      <c r="F24" s="6">
        <v>6</v>
      </c>
      <c r="G24" s="2">
        <f>VLOOKUP(D24,Справочник_товары,4) * (1 +VLOOKUP(D24,Справочник_товары,5))</f>
        <v>5120</v>
      </c>
      <c r="H24" s="20">
        <f>F24*G24</f>
        <v>30720</v>
      </c>
    </row>
    <row r="25" spans="3:17" ht="29" x14ac:dyDescent="0.35">
      <c r="C25" s="19">
        <v>45659</v>
      </c>
      <c r="D25" s="6">
        <v>4</v>
      </c>
      <c r="E25" s="2" t="str">
        <f>VLOOKUP(D25,Справочник_товары,2)</f>
        <v>Кроссовки дл бега Reebok Floatride</v>
      </c>
      <c r="F25" s="6">
        <v>5</v>
      </c>
      <c r="G25" s="2">
        <f>VLOOKUP(D25,Справочник_товары,4) * (1 +VLOOKUP(D25,Справочник_товары,5))</f>
        <v>10385</v>
      </c>
      <c r="H25" s="20">
        <f>F25*G25</f>
        <v>51925</v>
      </c>
    </row>
    <row r="26" spans="3:17" ht="29" x14ac:dyDescent="0.35">
      <c r="C26" s="19">
        <v>45659</v>
      </c>
      <c r="D26" s="6">
        <v>4</v>
      </c>
      <c r="E26" s="2" t="str">
        <f>VLOOKUP(D26,Справочник_товары,2)</f>
        <v>Кроссовки дл бега Reebok Floatride</v>
      </c>
      <c r="F26" s="6">
        <v>5</v>
      </c>
      <c r="G26" s="2">
        <f>VLOOKUP(D26,Справочник_товары,4) * (1 +VLOOKUP(D26,Справочник_товары,5))</f>
        <v>10385</v>
      </c>
      <c r="H26" s="20">
        <f>F26*G26</f>
        <v>51925</v>
      </c>
    </row>
    <row r="27" spans="3:17" ht="29" x14ac:dyDescent="0.35">
      <c r="C27" s="19">
        <v>45659</v>
      </c>
      <c r="D27" s="6">
        <v>4</v>
      </c>
      <c r="E27" s="2" t="str">
        <f>VLOOKUP(D27,Справочник_товары,2)</f>
        <v>Кроссовки дл бега Reebok Floatride</v>
      </c>
      <c r="F27" s="6">
        <v>5</v>
      </c>
      <c r="G27" s="2">
        <f>VLOOKUP(D27,Справочник_товары,4) * (1 +VLOOKUP(D27,Справочник_товары,5))</f>
        <v>10385</v>
      </c>
      <c r="H27" s="20">
        <f>F27*G27</f>
        <v>51925</v>
      </c>
    </row>
    <row r="28" spans="3:17" ht="29" x14ac:dyDescent="0.35">
      <c r="C28" s="19">
        <v>45659</v>
      </c>
      <c r="D28" s="6">
        <v>4</v>
      </c>
      <c r="E28" s="2" t="str">
        <f>VLOOKUP(D28,Справочник_товары,2)</f>
        <v>Кроссовки дл бега Reebok Floatride</v>
      </c>
      <c r="F28" s="6">
        <v>7</v>
      </c>
      <c r="G28" s="2">
        <f>VLOOKUP(D28,Справочник_товары,4) * (1 +VLOOKUP(D28,Справочник_товары,5))</f>
        <v>10385</v>
      </c>
      <c r="H28" s="20">
        <f>F28*G28</f>
        <v>72695</v>
      </c>
    </row>
    <row r="29" spans="3:17" ht="29" x14ac:dyDescent="0.35">
      <c r="C29" s="19">
        <v>45659</v>
      </c>
      <c r="D29" s="6">
        <v>2</v>
      </c>
      <c r="E29" s="2" t="str">
        <f>VLOOKUP(D29,Справочник_товары,2)</f>
        <v>Кроссовки женские Adidas Ultraboost</v>
      </c>
      <c r="F29" s="6">
        <v>1</v>
      </c>
      <c r="G29" s="2">
        <f>VLOOKUP(D29,Справочник_товары,4) * (1 +VLOOKUP(D29,Справочник_товары,5))</f>
        <v>11700</v>
      </c>
      <c r="H29" s="20">
        <f>F29*G29</f>
        <v>11700</v>
      </c>
    </row>
    <row r="30" spans="3:17" ht="29" x14ac:dyDescent="0.35">
      <c r="C30" s="19">
        <v>45659</v>
      </c>
      <c r="D30" s="6">
        <v>1</v>
      </c>
      <c r="E30" s="2" t="str">
        <f>VLOOKUP(D30,Справочник_товары,2)</f>
        <v>Кроссовки мужские Nike Air Max</v>
      </c>
      <c r="F30" s="6">
        <v>1</v>
      </c>
      <c r="G30" s="2">
        <f>VLOOKUP(D30,Справочник_товары,4) * (1 +VLOOKUP(D30,Справочник_товары,5))</f>
        <v>12325</v>
      </c>
      <c r="H30" s="20">
        <f>F30*G30</f>
        <v>12325</v>
      </c>
    </row>
    <row r="31" spans="3:17" ht="29" x14ac:dyDescent="0.35">
      <c r="C31" s="19">
        <v>45659</v>
      </c>
      <c r="D31" s="6">
        <v>5</v>
      </c>
      <c r="E31" s="2" t="str">
        <f>VLOOKUP(D31,Справочник_товары,2)</f>
        <v>Кроссовки повседневные New Balance</v>
      </c>
      <c r="F31" s="6">
        <v>1</v>
      </c>
      <c r="G31" s="2">
        <f>VLOOKUP(D31,Справочник_товары,4) * (1 +VLOOKUP(D31,Справочник_товары,5))</f>
        <v>7425</v>
      </c>
      <c r="H31" s="20">
        <f>F31*G31</f>
        <v>7425</v>
      </c>
    </row>
    <row r="32" spans="3:17" ht="29" x14ac:dyDescent="0.35">
      <c r="C32" s="19">
        <v>45659</v>
      </c>
      <c r="D32" s="6">
        <v>6</v>
      </c>
      <c r="E32" s="2" t="str">
        <f>VLOOKUP(D32,Справочник_товары,2)</f>
        <v>Кроссовки треккинговые Salomon X-Hike</v>
      </c>
      <c r="F32" s="6">
        <v>1</v>
      </c>
      <c r="G32" s="2">
        <f>VLOOKUP(D32,Справочник_товары,4) * (1 +VLOOKUP(D32,Справочник_товары,5))</f>
        <v>7559.9999999999991</v>
      </c>
      <c r="H32" s="20">
        <f>F32*G32</f>
        <v>7559.9999999999991</v>
      </c>
    </row>
    <row r="33" spans="3:8" ht="29" x14ac:dyDescent="0.35">
      <c r="C33" s="19">
        <v>45659</v>
      </c>
      <c r="D33" s="6">
        <v>6</v>
      </c>
      <c r="E33" s="2" t="str">
        <f>VLOOKUP(D33,Справочник_товары,2)</f>
        <v>Кроссовки треккинговые Salomon X-Hike</v>
      </c>
      <c r="F33" s="6">
        <v>1</v>
      </c>
      <c r="G33" s="2">
        <f>VLOOKUP(D33,Справочник_товары,4) * (1 +VLOOKUP(D33,Справочник_товары,5))</f>
        <v>7559.9999999999991</v>
      </c>
      <c r="H33" s="20">
        <f>F33*G33</f>
        <v>7559.9999999999991</v>
      </c>
    </row>
    <row r="34" spans="3:8" ht="29" x14ac:dyDescent="0.35">
      <c r="C34" s="19">
        <v>45659</v>
      </c>
      <c r="D34" s="6">
        <v>6</v>
      </c>
      <c r="E34" s="2" t="str">
        <f>VLOOKUP(D34,Справочник_товары,2)</f>
        <v>Кроссовки треккинговые Salomon X-Hike</v>
      </c>
      <c r="F34" s="6">
        <v>3</v>
      </c>
      <c r="G34" s="2">
        <f>VLOOKUP(D34,Справочник_товары,4) * (1 +VLOOKUP(D34,Справочник_товары,5))</f>
        <v>7559.9999999999991</v>
      </c>
      <c r="H34" s="20">
        <f>F34*G34</f>
        <v>22679.999999999996</v>
      </c>
    </row>
    <row r="35" spans="3:8" ht="29" x14ac:dyDescent="0.35">
      <c r="C35" s="19">
        <v>45659</v>
      </c>
      <c r="D35" s="6">
        <v>6</v>
      </c>
      <c r="E35" s="2" t="str">
        <f>VLOOKUP(D35,Справочник_товары,2)</f>
        <v>Кроссовки треккинговые Salomon X-Hike</v>
      </c>
      <c r="F35" s="6">
        <v>4</v>
      </c>
      <c r="G35" s="2">
        <f>VLOOKUP(D35,Справочник_товары,4) * (1 +VLOOKUP(D35,Справочник_товары,5))</f>
        <v>7559.9999999999991</v>
      </c>
      <c r="H35" s="20">
        <f>F35*G35</f>
        <v>30239.999999999996</v>
      </c>
    </row>
    <row r="36" spans="3:8" ht="29" x14ac:dyDescent="0.35">
      <c r="C36" s="19">
        <v>45660</v>
      </c>
      <c r="D36" s="6">
        <v>3</v>
      </c>
      <c r="E36" s="2" t="str">
        <f>VLOOKUP(D36,Справочник_товары,2)</f>
        <v>Кросовки детские Puma Play</v>
      </c>
      <c r="F36" s="6">
        <v>2</v>
      </c>
      <c r="G36" s="2">
        <f>VLOOKUP(D36,Справочник_товары,4) * (1 +VLOOKUP(D36,Справочник_товары,5))</f>
        <v>5120</v>
      </c>
      <c r="H36" s="20">
        <f>F36*G36</f>
        <v>10240</v>
      </c>
    </row>
    <row r="37" spans="3:8" ht="29" x14ac:dyDescent="0.35">
      <c r="C37" s="19">
        <v>45660</v>
      </c>
      <c r="D37" s="6">
        <v>3</v>
      </c>
      <c r="E37" s="2" t="str">
        <f>VLOOKUP(D37,Справочник_товары,2)</f>
        <v>Кросовки детские Puma Play</v>
      </c>
      <c r="F37" s="6">
        <v>3</v>
      </c>
      <c r="G37" s="2">
        <f>VLOOKUP(D37,Справочник_товары,4) * (1 +VLOOKUP(D37,Справочник_товары,5))</f>
        <v>5120</v>
      </c>
      <c r="H37" s="20">
        <f>F37*G37</f>
        <v>15360</v>
      </c>
    </row>
    <row r="38" spans="3:8" ht="29" x14ac:dyDescent="0.35">
      <c r="C38" s="19">
        <v>45660</v>
      </c>
      <c r="D38" s="6">
        <v>3</v>
      </c>
      <c r="E38" s="2" t="str">
        <f>VLOOKUP(D38,Справочник_товары,2)</f>
        <v>Кросовки детские Puma Play</v>
      </c>
      <c r="F38" s="6">
        <v>3</v>
      </c>
      <c r="G38" s="2">
        <f>VLOOKUP(D38,Справочник_товары,4) * (1 +VLOOKUP(D38,Справочник_товары,5))</f>
        <v>5120</v>
      </c>
      <c r="H38" s="20">
        <f>F38*G38</f>
        <v>15360</v>
      </c>
    </row>
    <row r="39" spans="3:8" ht="29" x14ac:dyDescent="0.35">
      <c r="C39" s="19">
        <v>45660</v>
      </c>
      <c r="D39" s="6">
        <v>4</v>
      </c>
      <c r="E39" s="2" t="str">
        <f>VLOOKUP(D39,Справочник_товары,2)</f>
        <v>Кроссовки дл бега Reebok Floatride</v>
      </c>
      <c r="F39" s="6">
        <v>2</v>
      </c>
      <c r="G39" s="2">
        <f>VLOOKUP(D39,Справочник_товары,4) * (1 +VLOOKUP(D39,Справочник_товары,5))</f>
        <v>10385</v>
      </c>
      <c r="H39" s="20">
        <f>F39*G39</f>
        <v>20770</v>
      </c>
    </row>
    <row r="40" spans="3:8" ht="29" x14ac:dyDescent="0.35">
      <c r="C40" s="19">
        <v>45660</v>
      </c>
      <c r="D40" s="6">
        <v>4</v>
      </c>
      <c r="E40" s="2" t="str">
        <f>VLOOKUP(D40,Справочник_товары,2)</f>
        <v>Кроссовки дл бега Reebok Floatride</v>
      </c>
      <c r="F40" s="6">
        <v>7</v>
      </c>
      <c r="G40" s="2">
        <f>VLOOKUP(D40,Справочник_товары,4) * (1 +VLOOKUP(D40,Справочник_товары,5))</f>
        <v>10385</v>
      </c>
      <c r="H40" s="20">
        <f>F40*G40</f>
        <v>72695</v>
      </c>
    </row>
    <row r="41" spans="3:8" ht="29" x14ac:dyDescent="0.35">
      <c r="C41" s="19">
        <v>45660</v>
      </c>
      <c r="D41" s="6">
        <v>2</v>
      </c>
      <c r="E41" s="2" t="str">
        <f>VLOOKUP(D41,Справочник_товары,2)</f>
        <v>Кроссовки женские Adidas Ultraboost</v>
      </c>
      <c r="F41" s="6">
        <v>8</v>
      </c>
      <c r="G41" s="2">
        <f>VLOOKUP(D41,Справочник_товары,4) * (1 +VLOOKUP(D41,Справочник_товары,5))</f>
        <v>11700</v>
      </c>
      <c r="H41" s="20">
        <f>F41*G41</f>
        <v>93600</v>
      </c>
    </row>
    <row r="42" spans="3:8" ht="29" x14ac:dyDescent="0.35">
      <c r="C42" s="19">
        <v>45660</v>
      </c>
      <c r="D42" s="6">
        <v>1</v>
      </c>
      <c r="E42" s="2" t="str">
        <f>VLOOKUP(D42,Справочник_товары,2)</f>
        <v>Кроссовки мужские Nike Air Max</v>
      </c>
      <c r="F42" s="6">
        <v>7</v>
      </c>
      <c r="G42" s="2">
        <f>VLOOKUP(D42,Справочник_товары,4) * (1 +VLOOKUP(D42,Справочник_товары,5))</f>
        <v>12325</v>
      </c>
      <c r="H42" s="20">
        <f>F42*G42</f>
        <v>86275</v>
      </c>
    </row>
    <row r="43" spans="3:8" ht="29" x14ac:dyDescent="0.35">
      <c r="C43" s="19">
        <v>45660</v>
      </c>
      <c r="D43" s="6">
        <v>1</v>
      </c>
      <c r="E43" s="2" t="str">
        <f>VLOOKUP(D43,Справочник_товары,2)</f>
        <v>Кроссовки мужские Nike Air Max</v>
      </c>
      <c r="F43" s="6">
        <v>7</v>
      </c>
      <c r="G43" s="2">
        <f>VLOOKUP(D43,Справочник_товары,4) * (1 +VLOOKUP(D43,Справочник_товары,5))</f>
        <v>12325</v>
      </c>
      <c r="H43" s="20">
        <f>F43*G43</f>
        <v>86275</v>
      </c>
    </row>
    <row r="44" spans="3:8" ht="29" x14ac:dyDescent="0.35">
      <c r="C44" s="19">
        <v>45660</v>
      </c>
      <c r="D44" s="6">
        <v>5</v>
      </c>
      <c r="E44" s="2" t="str">
        <f>VLOOKUP(D44,Справочник_товары,2)</f>
        <v>Кроссовки повседневные New Balance</v>
      </c>
      <c r="F44" s="6">
        <v>8</v>
      </c>
      <c r="G44" s="2">
        <f>VLOOKUP(D44,Справочник_товары,4) * (1 +VLOOKUP(D44,Справочник_товары,5))</f>
        <v>7425</v>
      </c>
      <c r="H44" s="20">
        <f>F44*G44</f>
        <v>59400</v>
      </c>
    </row>
    <row r="45" spans="3:8" ht="29" x14ac:dyDescent="0.35">
      <c r="C45" s="19">
        <v>45660</v>
      </c>
      <c r="D45" s="6">
        <v>6</v>
      </c>
      <c r="E45" s="2" t="str">
        <f>VLOOKUP(D45,Справочник_товары,2)</f>
        <v>Кроссовки треккинговые Salomon X-Hike</v>
      </c>
      <c r="F45" s="6">
        <v>6</v>
      </c>
      <c r="G45" s="2">
        <f>VLOOKUP(D45,Справочник_товары,4) * (1 +VLOOKUP(D45,Справочник_товары,5))</f>
        <v>7559.9999999999991</v>
      </c>
      <c r="H45" s="20">
        <f>F45*G45</f>
        <v>45359.999999999993</v>
      </c>
    </row>
    <row r="46" spans="3:8" ht="29" x14ac:dyDescent="0.35">
      <c r="C46" s="19">
        <v>45661</v>
      </c>
      <c r="D46" s="6">
        <v>3</v>
      </c>
      <c r="E46" s="2" t="str">
        <f>VLOOKUP(D46,Справочник_товары,2)</f>
        <v>Кросовки детские Puma Play</v>
      </c>
      <c r="F46" s="6">
        <v>3</v>
      </c>
      <c r="G46" s="2">
        <f>VLOOKUP(D46,Справочник_товары,4) * (1 +VLOOKUP(D46,Справочник_товары,5))</f>
        <v>5120</v>
      </c>
      <c r="H46" s="20">
        <f>F46*G46</f>
        <v>15360</v>
      </c>
    </row>
    <row r="47" spans="3:8" ht="29" x14ac:dyDescent="0.35">
      <c r="C47" s="19">
        <v>45661</v>
      </c>
      <c r="D47" s="6">
        <v>3</v>
      </c>
      <c r="E47" s="2" t="str">
        <f>VLOOKUP(D47,Справочник_товары,2)</f>
        <v>Кросовки детские Puma Play</v>
      </c>
      <c r="F47" s="6">
        <v>9</v>
      </c>
      <c r="G47" s="2">
        <f>VLOOKUP(D47,Справочник_товары,4) * (1 +VLOOKUP(D47,Справочник_товары,5))</f>
        <v>5120</v>
      </c>
      <c r="H47" s="20">
        <f>F47*G47</f>
        <v>46080</v>
      </c>
    </row>
    <row r="48" spans="3:8" ht="29" x14ac:dyDescent="0.35">
      <c r="C48" s="19">
        <v>45661</v>
      </c>
      <c r="D48" s="6">
        <v>4</v>
      </c>
      <c r="E48" s="2" t="str">
        <f>VLOOKUP(D48,Справочник_товары,2)</f>
        <v>Кроссовки дл бега Reebok Floatride</v>
      </c>
      <c r="F48" s="6">
        <v>7</v>
      </c>
      <c r="G48" s="2">
        <f>VLOOKUP(D48,Справочник_товары,4) * (1 +VLOOKUP(D48,Справочник_товары,5))</f>
        <v>10385</v>
      </c>
      <c r="H48" s="20">
        <f>F48*G48</f>
        <v>72695</v>
      </c>
    </row>
    <row r="49" spans="3:8" ht="29" x14ac:dyDescent="0.35">
      <c r="C49" s="19">
        <v>45661</v>
      </c>
      <c r="D49" s="6">
        <v>2</v>
      </c>
      <c r="E49" s="2" t="str">
        <f>VLOOKUP(D49,Справочник_товары,2)</f>
        <v>Кроссовки женские Adidas Ultraboost</v>
      </c>
      <c r="F49" s="6">
        <v>4</v>
      </c>
      <c r="G49" s="2">
        <f>VLOOKUP(D49,Справочник_товары,4) * (1 +VLOOKUP(D49,Справочник_товары,5))</f>
        <v>11700</v>
      </c>
      <c r="H49" s="20">
        <f>F49*G49</f>
        <v>46800</v>
      </c>
    </row>
    <row r="50" spans="3:8" ht="29" x14ac:dyDescent="0.35">
      <c r="C50" s="19">
        <v>45661</v>
      </c>
      <c r="D50" s="6">
        <v>2</v>
      </c>
      <c r="E50" s="2" t="str">
        <f>VLOOKUP(D50,Справочник_товары,2)</f>
        <v>Кроссовки женские Adidas Ultraboost</v>
      </c>
      <c r="F50" s="6">
        <v>4</v>
      </c>
      <c r="G50" s="2">
        <f>VLOOKUP(D50,Справочник_товары,4) * (1 +VLOOKUP(D50,Справочник_товары,5))</f>
        <v>11700</v>
      </c>
      <c r="H50" s="20">
        <f>F50*G50</f>
        <v>46800</v>
      </c>
    </row>
    <row r="51" spans="3:8" ht="29" x14ac:dyDescent="0.35">
      <c r="C51" s="19">
        <v>45661</v>
      </c>
      <c r="D51" s="6">
        <v>2</v>
      </c>
      <c r="E51" s="2" t="str">
        <f>VLOOKUP(D51,Справочник_товары,2)</f>
        <v>Кроссовки женские Adidas Ultraboost</v>
      </c>
      <c r="F51" s="6">
        <v>7</v>
      </c>
      <c r="G51" s="2">
        <f>VLOOKUP(D51,Справочник_товары,4) * (1 +VLOOKUP(D51,Справочник_товары,5))</f>
        <v>11700</v>
      </c>
      <c r="H51" s="20">
        <f>F51*G51</f>
        <v>81900</v>
      </c>
    </row>
    <row r="52" spans="3:8" ht="29" x14ac:dyDescent="0.35">
      <c r="C52" s="19">
        <v>45661</v>
      </c>
      <c r="D52" s="6">
        <v>2</v>
      </c>
      <c r="E52" s="2" t="str">
        <f>VLOOKUP(D52,Справочник_товары,2)</f>
        <v>Кроссовки женские Adidas Ultraboost</v>
      </c>
      <c r="F52" s="6">
        <v>7</v>
      </c>
      <c r="G52" s="2">
        <f>VLOOKUP(D52,Справочник_товары,4) * (1 +VLOOKUP(D52,Справочник_товары,5))</f>
        <v>11700</v>
      </c>
      <c r="H52" s="20">
        <f>F52*G52</f>
        <v>81900</v>
      </c>
    </row>
    <row r="53" spans="3:8" ht="29" x14ac:dyDescent="0.35">
      <c r="C53" s="19">
        <v>45661</v>
      </c>
      <c r="D53" s="6">
        <v>1</v>
      </c>
      <c r="E53" s="2" t="str">
        <f>VLOOKUP(D53,Справочник_товары,2)</f>
        <v>Кроссовки мужские Nike Air Max</v>
      </c>
      <c r="F53" s="6">
        <v>4</v>
      </c>
      <c r="G53" s="2">
        <f>VLOOKUP(D53,Справочник_товары,4) * (1 +VLOOKUP(D53,Справочник_товары,5))</f>
        <v>12325</v>
      </c>
      <c r="H53" s="20">
        <f>F53*G53</f>
        <v>49300</v>
      </c>
    </row>
    <row r="54" spans="3:8" ht="29" x14ac:dyDescent="0.35">
      <c r="C54" s="19">
        <v>45661</v>
      </c>
      <c r="D54" s="6">
        <v>1</v>
      </c>
      <c r="E54" s="2" t="str">
        <f>VLOOKUP(D54,Справочник_товары,2)</f>
        <v>Кроссовки мужские Nike Air Max</v>
      </c>
      <c r="F54" s="6">
        <v>7</v>
      </c>
      <c r="G54" s="2">
        <f>VLOOKUP(D54,Справочник_товары,4) * (1 +VLOOKUP(D54,Справочник_товары,5))</f>
        <v>12325</v>
      </c>
      <c r="H54" s="20">
        <f>F54*G54</f>
        <v>86275</v>
      </c>
    </row>
    <row r="55" spans="3:8" ht="29" x14ac:dyDescent="0.35">
      <c r="C55" s="19">
        <v>45661</v>
      </c>
      <c r="D55" s="6">
        <v>5</v>
      </c>
      <c r="E55" s="2" t="str">
        <f>VLOOKUP(D55,Справочник_товары,2)</f>
        <v>Кроссовки повседневные New Balance</v>
      </c>
      <c r="F55" s="6">
        <v>1</v>
      </c>
      <c r="G55" s="2">
        <f>VLOOKUP(D55,Справочник_товары,4) * (1 +VLOOKUP(D55,Справочник_товары,5))</f>
        <v>7425</v>
      </c>
      <c r="H55" s="20">
        <f>F55*G55</f>
        <v>7425</v>
      </c>
    </row>
    <row r="56" spans="3:8" ht="29" x14ac:dyDescent="0.35">
      <c r="C56" s="19">
        <v>45661</v>
      </c>
      <c r="D56" s="6">
        <v>5</v>
      </c>
      <c r="E56" s="2" t="str">
        <f>VLOOKUP(D56,Справочник_товары,2)</f>
        <v>Кроссовки повседневные New Balance</v>
      </c>
      <c r="F56" s="6">
        <v>3</v>
      </c>
      <c r="G56" s="2">
        <f>VLOOKUP(D56,Справочник_товары,4) * (1 +VLOOKUP(D56,Справочник_товары,5))</f>
        <v>7425</v>
      </c>
      <c r="H56" s="20">
        <f>F56*G56</f>
        <v>22275</v>
      </c>
    </row>
    <row r="57" spans="3:8" ht="29" x14ac:dyDescent="0.35">
      <c r="C57" s="19">
        <v>45661</v>
      </c>
      <c r="D57" s="6">
        <v>5</v>
      </c>
      <c r="E57" s="2" t="str">
        <f>VLOOKUP(D57,Справочник_товары,2)</f>
        <v>Кроссовки повседневные New Balance</v>
      </c>
      <c r="F57" s="6">
        <v>7</v>
      </c>
      <c r="G57" s="2">
        <f>VLOOKUP(D57,Справочник_товары,4) * (1 +VLOOKUP(D57,Справочник_товары,5))</f>
        <v>7425</v>
      </c>
      <c r="H57" s="20">
        <f>F57*G57</f>
        <v>51975</v>
      </c>
    </row>
    <row r="58" spans="3:8" ht="29" x14ac:dyDescent="0.35">
      <c r="C58" s="19">
        <v>45661</v>
      </c>
      <c r="D58" s="6">
        <v>6</v>
      </c>
      <c r="E58" s="2" t="str">
        <f>VLOOKUP(D58,Справочник_товары,2)</f>
        <v>Кроссовки треккинговые Salomon X-Hike</v>
      </c>
      <c r="F58" s="6">
        <v>6</v>
      </c>
      <c r="G58" s="2">
        <f>VLOOKUP(D58,Справочник_товары,4) * (1 +VLOOKUP(D58,Справочник_товары,5))</f>
        <v>7559.9999999999991</v>
      </c>
      <c r="H58" s="20">
        <f>F58*G58</f>
        <v>45359.999999999993</v>
      </c>
    </row>
    <row r="59" spans="3:8" ht="29" x14ac:dyDescent="0.35">
      <c r="C59" s="19">
        <v>45661</v>
      </c>
      <c r="D59" s="6">
        <v>6</v>
      </c>
      <c r="E59" s="2" t="str">
        <f>VLOOKUP(D59,Справочник_товары,2)</f>
        <v>Кроссовки треккинговые Salomon X-Hike</v>
      </c>
      <c r="F59" s="6">
        <v>8</v>
      </c>
      <c r="G59" s="2">
        <f>VLOOKUP(D59,Справочник_товары,4) * (1 +VLOOKUP(D59,Справочник_товары,5))</f>
        <v>7559.9999999999991</v>
      </c>
      <c r="H59" s="20">
        <f>F59*G59</f>
        <v>60479.999999999993</v>
      </c>
    </row>
    <row r="60" spans="3:8" ht="29" x14ac:dyDescent="0.35">
      <c r="C60" s="19">
        <v>45661</v>
      </c>
      <c r="D60" s="6">
        <v>6</v>
      </c>
      <c r="E60" s="2" t="str">
        <f>VLOOKUP(D60,Справочник_товары,2)</f>
        <v>Кроссовки треккинговые Salomon X-Hike</v>
      </c>
      <c r="F60" s="6">
        <v>9</v>
      </c>
      <c r="G60" s="2">
        <f>VLOOKUP(D60,Справочник_товары,4) * (1 +VLOOKUP(D60,Справочник_товары,5))</f>
        <v>7559.9999999999991</v>
      </c>
      <c r="H60" s="20">
        <f>F60*G60</f>
        <v>68039.999999999985</v>
      </c>
    </row>
    <row r="61" spans="3:8" ht="29" x14ac:dyDescent="0.35">
      <c r="C61" s="19">
        <v>45661</v>
      </c>
      <c r="D61" s="6">
        <v>6</v>
      </c>
      <c r="E61" s="2" t="str">
        <f>VLOOKUP(D61,Справочник_товары,2)</f>
        <v>Кроссовки треккинговые Salomon X-Hike</v>
      </c>
      <c r="F61" s="6">
        <v>10</v>
      </c>
      <c r="G61" s="2">
        <f>VLOOKUP(D61,Справочник_товары,4) * (1 +VLOOKUP(D61,Справочник_товары,5))</f>
        <v>7559.9999999999991</v>
      </c>
      <c r="H61" s="20">
        <f>F61*G61</f>
        <v>75599.999999999985</v>
      </c>
    </row>
    <row r="62" spans="3:8" ht="29" x14ac:dyDescent="0.35">
      <c r="C62" s="19">
        <v>45662</v>
      </c>
      <c r="D62" s="6">
        <v>4</v>
      </c>
      <c r="E62" s="2" t="str">
        <f>VLOOKUP(D62,Справочник_товары,2)</f>
        <v>Кроссовки дл бега Reebok Floatride</v>
      </c>
      <c r="F62" s="6">
        <v>2</v>
      </c>
      <c r="G62" s="2">
        <f>VLOOKUP(D62,Справочник_товары,4) * (1 +VLOOKUP(D62,Справочник_товары,5))</f>
        <v>10385</v>
      </c>
      <c r="H62" s="20">
        <f>F62*G62</f>
        <v>20770</v>
      </c>
    </row>
    <row r="63" spans="3:8" ht="29" x14ac:dyDescent="0.35">
      <c r="C63" s="19">
        <v>45662</v>
      </c>
      <c r="D63" s="6">
        <v>4</v>
      </c>
      <c r="E63" s="2" t="str">
        <f>VLOOKUP(D63,Справочник_товары,2)</f>
        <v>Кроссовки дл бега Reebok Floatride</v>
      </c>
      <c r="F63" s="6">
        <v>3</v>
      </c>
      <c r="G63" s="2">
        <f>VLOOKUP(D63,Справочник_товары,4) * (1 +VLOOKUP(D63,Справочник_товары,5))</f>
        <v>10385</v>
      </c>
      <c r="H63" s="20">
        <f>F63*G63</f>
        <v>31155</v>
      </c>
    </row>
    <row r="64" spans="3:8" ht="29" x14ac:dyDescent="0.35">
      <c r="C64" s="19">
        <v>45662</v>
      </c>
      <c r="D64" s="6">
        <v>4</v>
      </c>
      <c r="E64" s="2" t="str">
        <f>VLOOKUP(D64,Справочник_товары,2)</f>
        <v>Кроссовки дл бега Reebok Floatride</v>
      </c>
      <c r="F64" s="6">
        <v>6</v>
      </c>
      <c r="G64" s="2">
        <f>VLOOKUP(D64,Справочник_товары,4) * (1 +VLOOKUP(D64,Справочник_товары,5))</f>
        <v>10385</v>
      </c>
      <c r="H64" s="20">
        <f>F64*G64</f>
        <v>62310</v>
      </c>
    </row>
    <row r="65" spans="3:8" ht="29" x14ac:dyDescent="0.35">
      <c r="C65" s="19">
        <v>45662</v>
      </c>
      <c r="D65" s="6">
        <v>4</v>
      </c>
      <c r="E65" s="2" t="str">
        <f>VLOOKUP(D65,Справочник_товары,2)</f>
        <v>Кроссовки дл бега Reebok Floatride</v>
      </c>
      <c r="F65" s="6">
        <v>6</v>
      </c>
      <c r="G65" s="2">
        <f>VLOOKUP(D65,Справочник_товары,4) * (1 +VLOOKUP(D65,Справочник_товары,5))</f>
        <v>10385</v>
      </c>
      <c r="H65" s="20">
        <f>F65*G65</f>
        <v>62310</v>
      </c>
    </row>
    <row r="66" spans="3:8" ht="29" x14ac:dyDescent="0.35">
      <c r="C66" s="19">
        <v>45662</v>
      </c>
      <c r="D66" s="6">
        <v>4</v>
      </c>
      <c r="E66" s="2" t="str">
        <f>VLOOKUP(D66,Справочник_товары,2)</f>
        <v>Кроссовки дл бега Reebok Floatride</v>
      </c>
      <c r="F66" s="6">
        <v>7</v>
      </c>
      <c r="G66" s="2">
        <f>VLOOKUP(D66,Справочник_товары,4) * (1 +VLOOKUP(D66,Справочник_товары,5))</f>
        <v>10385</v>
      </c>
      <c r="H66" s="20">
        <f>F66*G66</f>
        <v>72695</v>
      </c>
    </row>
    <row r="67" spans="3:8" ht="29" x14ac:dyDescent="0.35">
      <c r="C67" s="19">
        <v>45662</v>
      </c>
      <c r="D67" s="6">
        <v>2</v>
      </c>
      <c r="E67" s="2" t="str">
        <f>VLOOKUP(D67,Справочник_товары,2)</f>
        <v>Кроссовки женские Adidas Ultraboost</v>
      </c>
      <c r="F67" s="6">
        <v>3</v>
      </c>
      <c r="G67" s="2">
        <f>VLOOKUP(D67,Справочник_товары,4) * (1 +VLOOKUP(D67,Справочник_товары,5))</f>
        <v>11700</v>
      </c>
      <c r="H67" s="20">
        <f>F67*G67</f>
        <v>35100</v>
      </c>
    </row>
    <row r="68" spans="3:8" ht="29" x14ac:dyDescent="0.35">
      <c r="C68" s="19">
        <v>45662</v>
      </c>
      <c r="D68" s="6">
        <v>2</v>
      </c>
      <c r="E68" s="2" t="str">
        <f>VLOOKUP(D68,Справочник_товары,2)</f>
        <v>Кроссовки женские Adidas Ultraboost</v>
      </c>
      <c r="F68" s="6">
        <v>3</v>
      </c>
      <c r="G68" s="2">
        <f>VLOOKUP(D68,Справочник_товары,4) * (1 +VLOOKUP(D68,Справочник_товары,5))</f>
        <v>11700</v>
      </c>
      <c r="H68" s="20">
        <f>F68*G68</f>
        <v>35100</v>
      </c>
    </row>
    <row r="69" spans="3:8" ht="29" x14ac:dyDescent="0.35">
      <c r="C69" s="19">
        <v>45662</v>
      </c>
      <c r="D69" s="6">
        <v>2</v>
      </c>
      <c r="E69" s="2" t="str">
        <f>VLOOKUP(D69,Справочник_товары,2)</f>
        <v>Кроссовки женские Adidas Ultraboost</v>
      </c>
      <c r="F69" s="6">
        <v>5</v>
      </c>
      <c r="G69" s="2">
        <f>VLOOKUP(D69,Справочник_товары,4) * (1 +VLOOKUP(D69,Справочник_товары,5))</f>
        <v>11700</v>
      </c>
      <c r="H69" s="20">
        <f>F69*G69</f>
        <v>58500</v>
      </c>
    </row>
    <row r="70" spans="3:8" ht="29" x14ac:dyDescent="0.35">
      <c r="C70" s="19">
        <v>45662</v>
      </c>
      <c r="D70" s="6">
        <v>2</v>
      </c>
      <c r="E70" s="2" t="str">
        <f>VLOOKUP(D70,Справочник_товары,2)</f>
        <v>Кроссовки женские Adidas Ultraboost</v>
      </c>
      <c r="F70" s="6">
        <v>6</v>
      </c>
      <c r="G70" s="2">
        <f>VLOOKUP(D70,Справочник_товары,4) * (1 +VLOOKUP(D70,Справочник_товары,5))</f>
        <v>11700</v>
      </c>
      <c r="H70" s="20">
        <f>F70*G70</f>
        <v>70200</v>
      </c>
    </row>
    <row r="71" spans="3:8" ht="29" x14ac:dyDescent="0.35">
      <c r="C71" s="19">
        <v>45662</v>
      </c>
      <c r="D71" s="6">
        <v>2</v>
      </c>
      <c r="E71" s="2" t="str">
        <f>VLOOKUP(D71,Справочник_товары,2)</f>
        <v>Кроссовки женские Adidas Ultraboost</v>
      </c>
      <c r="F71" s="6">
        <v>8</v>
      </c>
      <c r="G71" s="2">
        <f>VLOOKUP(D71,Справочник_товары,4) * (1 +VLOOKUP(D71,Справочник_товары,5))</f>
        <v>11700</v>
      </c>
      <c r="H71" s="20">
        <f>F71*G71</f>
        <v>93600</v>
      </c>
    </row>
    <row r="72" spans="3:8" ht="29" x14ac:dyDescent="0.35">
      <c r="C72" s="19">
        <v>45662</v>
      </c>
      <c r="D72" s="6">
        <v>1</v>
      </c>
      <c r="E72" s="2" t="str">
        <f>VLOOKUP(D72,Справочник_товары,2)</f>
        <v>Кроссовки мужские Nike Air Max</v>
      </c>
      <c r="F72" s="6">
        <v>1</v>
      </c>
      <c r="G72" s="2">
        <f>VLOOKUP(D72,Справочник_товары,4) * (1 +VLOOKUP(D72,Справочник_товары,5))</f>
        <v>12325</v>
      </c>
      <c r="H72" s="20">
        <f>F72*G72</f>
        <v>12325</v>
      </c>
    </row>
    <row r="73" spans="3:8" ht="29" x14ac:dyDescent="0.35">
      <c r="C73" s="19">
        <v>45662</v>
      </c>
      <c r="D73" s="6">
        <v>1</v>
      </c>
      <c r="E73" s="2" t="str">
        <f>VLOOKUP(D73,Справочник_товары,2)</f>
        <v>Кроссовки мужские Nike Air Max</v>
      </c>
      <c r="F73" s="6">
        <v>7</v>
      </c>
      <c r="G73" s="2">
        <f>VLOOKUP(D73,Справочник_товары,4) * (1 +VLOOKUP(D73,Справочник_товары,5))</f>
        <v>12325</v>
      </c>
      <c r="H73" s="20">
        <f>F73*G73</f>
        <v>86275</v>
      </c>
    </row>
    <row r="74" spans="3:8" ht="29" x14ac:dyDescent="0.35">
      <c r="C74" s="19">
        <v>45662</v>
      </c>
      <c r="D74" s="6">
        <v>1</v>
      </c>
      <c r="E74" s="2" t="str">
        <f>VLOOKUP(D74,Справочник_товары,2)</f>
        <v>Кроссовки мужские Nike Air Max</v>
      </c>
      <c r="F74" s="6">
        <v>7</v>
      </c>
      <c r="G74" s="2">
        <f>VLOOKUP(D74,Справочник_товары,4) * (1 +VLOOKUP(D74,Справочник_товары,5))</f>
        <v>12325</v>
      </c>
      <c r="H74" s="20">
        <f>F74*G74</f>
        <v>86275</v>
      </c>
    </row>
    <row r="75" spans="3:8" ht="29" x14ac:dyDescent="0.35">
      <c r="C75" s="19">
        <v>45662</v>
      </c>
      <c r="D75" s="6">
        <v>5</v>
      </c>
      <c r="E75" s="2" t="str">
        <f>VLOOKUP(D75,Справочник_товары,2)</f>
        <v>Кроссовки повседневные New Balance</v>
      </c>
      <c r="F75" s="6">
        <v>8</v>
      </c>
      <c r="G75" s="2">
        <f>VLOOKUP(D75,Справочник_товары,4) * (1 +VLOOKUP(D75,Справочник_товары,5))</f>
        <v>7425</v>
      </c>
      <c r="H75" s="20">
        <f>F75*G75</f>
        <v>59400</v>
      </c>
    </row>
    <row r="76" spans="3:8" ht="29" x14ac:dyDescent="0.35">
      <c r="C76" s="19">
        <v>45663</v>
      </c>
      <c r="D76" s="6">
        <v>3</v>
      </c>
      <c r="E76" s="2" t="str">
        <f>VLOOKUP(D76,Справочник_товары,2)</f>
        <v>Кросовки детские Puma Play</v>
      </c>
      <c r="F76" s="6">
        <v>6</v>
      </c>
      <c r="G76" s="2">
        <f>VLOOKUP(D76,Справочник_товары,4) * (1 +VLOOKUP(D76,Справочник_товары,5))</f>
        <v>5120</v>
      </c>
      <c r="H76" s="20">
        <f>F76*G76</f>
        <v>30720</v>
      </c>
    </row>
    <row r="77" spans="3:8" ht="29" x14ac:dyDescent="0.35">
      <c r="C77" s="19">
        <v>45663</v>
      </c>
      <c r="D77" s="6">
        <v>4</v>
      </c>
      <c r="E77" s="2" t="str">
        <f>VLOOKUP(D77,Справочник_товары,2)</f>
        <v>Кроссовки дл бега Reebok Floatride</v>
      </c>
      <c r="F77" s="6">
        <v>4</v>
      </c>
      <c r="G77" s="2">
        <f>VLOOKUP(D77,Справочник_товары,4) * (1 +VLOOKUP(D77,Справочник_товары,5))</f>
        <v>10385</v>
      </c>
      <c r="H77" s="20">
        <f>F77*G77</f>
        <v>41540</v>
      </c>
    </row>
    <row r="78" spans="3:8" ht="29" x14ac:dyDescent="0.35">
      <c r="C78" s="19">
        <v>45663</v>
      </c>
      <c r="D78" s="6">
        <v>4</v>
      </c>
      <c r="E78" s="2" t="str">
        <f>VLOOKUP(D78,Справочник_товары,2)</f>
        <v>Кроссовки дл бега Reebok Floatride</v>
      </c>
      <c r="F78" s="6">
        <v>10</v>
      </c>
      <c r="G78" s="2">
        <f>VLOOKUP(D78,Справочник_товары,4) * (1 +VLOOKUP(D78,Справочник_товары,5))</f>
        <v>10385</v>
      </c>
      <c r="H78" s="20">
        <f>F78*G78</f>
        <v>103850</v>
      </c>
    </row>
    <row r="79" spans="3:8" ht="29" x14ac:dyDescent="0.35">
      <c r="C79" s="19">
        <v>45663</v>
      </c>
      <c r="D79" s="6">
        <v>2</v>
      </c>
      <c r="E79" s="2" t="str">
        <f>VLOOKUP(D79,Справочник_товары,2)</f>
        <v>Кроссовки женские Adidas Ultraboost</v>
      </c>
      <c r="F79" s="6">
        <v>4</v>
      </c>
      <c r="G79" s="2">
        <f>VLOOKUP(D79,Справочник_товары,4) * (1 +VLOOKUP(D79,Справочник_товары,5))</f>
        <v>11700</v>
      </c>
      <c r="H79" s="20">
        <f>F79*G79</f>
        <v>46800</v>
      </c>
    </row>
    <row r="80" spans="3:8" ht="29" x14ac:dyDescent="0.35">
      <c r="C80" s="19">
        <v>45663</v>
      </c>
      <c r="D80" s="6">
        <v>1</v>
      </c>
      <c r="E80" s="2" t="str">
        <f>VLOOKUP(D80,Справочник_товары,2)</f>
        <v>Кроссовки мужские Nike Air Max</v>
      </c>
      <c r="F80" s="6">
        <v>1</v>
      </c>
      <c r="G80" s="2">
        <f>VLOOKUP(D80,Справочник_товары,4) * (1 +VLOOKUP(D80,Справочник_товары,5))</f>
        <v>12325</v>
      </c>
      <c r="H80" s="20">
        <f>F80*G80</f>
        <v>12325</v>
      </c>
    </row>
    <row r="81" spans="3:8" ht="29" x14ac:dyDescent="0.35">
      <c r="C81" s="19">
        <v>45663</v>
      </c>
      <c r="D81" s="6">
        <v>1</v>
      </c>
      <c r="E81" s="2" t="str">
        <f>VLOOKUP(D81,Справочник_товары,2)</f>
        <v>Кроссовки мужские Nike Air Max</v>
      </c>
      <c r="F81" s="6">
        <v>7</v>
      </c>
      <c r="G81" s="2">
        <f>VLOOKUP(D81,Справочник_товары,4) * (1 +VLOOKUP(D81,Справочник_товары,5))</f>
        <v>12325</v>
      </c>
      <c r="H81" s="20">
        <f>F81*G81</f>
        <v>86275</v>
      </c>
    </row>
    <row r="82" spans="3:8" ht="29" x14ac:dyDescent="0.35">
      <c r="C82" s="19">
        <v>45663</v>
      </c>
      <c r="D82" s="6">
        <v>1</v>
      </c>
      <c r="E82" s="2" t="str">
        <f>VLOOKUP(D82,Справочник_товары,2)</f>
        <v>Кроссовки мужские Nike Air Max</v>
      </c>
      <c r="F82" s="6">
        <v>9</v>
      </c>
      <c r="G82" s="2">
        <f>VLOOKUP(D82,Справочник_товары,4) * (1 +VLOOKUP(D82,Справочник_товары,5))</f>
        <v>12325</v>
      </c>
      <c r="H82" s="20">
        <f>F82*G82</f>
        <v>110925</v>
      </c>
    </row>
    <row r="83" spans="3:8" ht="29" x14ac:dyDescent="0.35">
      <c r="C83" s="19">
        <v>45663</v>
      </c>
      <c r="D83" s="6">
        <v>5</v>
      </c>
      <c r="E83" s="2" t="str">
        <f>VLOOKUP(D83,Справочник_товары,2)</f>
        <v>Кроссовки повседневные New Balance</v>
      </c>
      <c r="F83" s="6">
        <v>7</v>
      </c>
      <c r="G83" s="2">
        <f>VLOOKUP(D83,Справочник_товары,4) * (1 +VLOOKUP(D83,Справочник_товары,5))</f>
        <v>7425</v>
      </c>
      <c r="H83" s="20">
        <f>F83*G83</f>
        <v>51975</v>
      </c>
    </row>
    <row r="84" spans="3:8" ht="29" x14ac:dyDescent="0.35">
      <c r="C84" s="19">
        <v>45663</v>
      </c>
      <c r="D84" s="6">
        <v>6</v>
      </c>
      <c r="E84" s="2" t="str">
        <f>VLOOKUP(D84,Справочник_товары,2)</f>
        <v>Кроссовки треккинговые Salomon X-Hike</v>
      </c>
      <c r="F84" s="6">
        <v>5</v>
      </c>
      <c r="G84" s="2">
        <f>VLOOKUP(D84,Справочник_товары,4) * (1 +VLOOKUP(D84,Справочник_товары,5))</f>
        <v>7559.9999999999991</v>
      </c>
      <c r="H84" s="20">
        <f>F84*G84</f>
        <v>37799.999999999993</v>
      </c>
    </row>
    <row r="85" spans="3:8" ht="29" x14ac:dyDescent="0.35">
      <c r="C85" s="19">
        <v>45664</v>
      </c>
      <c r="D85" s="6">
        <v>3</v>
      </c>
      <c r="E85" s="2" t="str">
        <f>VLOOKUP(D85,Справочник_товары,2)</f>
        <v>Кросовки детские Puma Play</v>
      </c>
      <c r="F85" s="6">
        <v>6</v>
      </c>
      <c r="G85" s="2">
        <f>VLOOKUP(D85,Справочник_товары,4) * (1 +VLOOKUP(D85,Справочник_товары,5))</f>
        <v>5120</v>
      </c>
      <c r="H85" s="20">
        <f>F85*G85</f>
        <v>30720</v>
      </c>
    </row>
    <row r="86" spans="3:8" ht="29" x14ac:dyDescent="0.35">
      <c r="C86" s="19">
        <v>45664</v>
      </c>
      <c r="D86" s="6">
        <v>4</v>
      </c>
      <c r="E86" s="2" t="str">
        <f>VLOOKUP(D86,Справочник_товары,2)</f>
        <v>Кроссовки дл бега Reebok Floatride</v>
      </c>
      <c r="F86" s="6">
        <v>2</v>
      </c>
      <c r="G86" s="2">
        <f>VLOOKUP(D86,Справочник_товары,4) * (1 +VLOOKUP(D86,Справочник_товары,5))</f>
        <v>10385</v>
      </c>
      <c r="H86" s="20">
        <f>F86*G86</f>
        <v>20770</v>
      </c>
    </row>
    <row r="87" spans="3:8" ht="29" x14ac:dyDescent="0.35">
      <c r="C87" s="19">
        <v>45664</v>
      </c>
      <c r="D87" s="6">
        <v>4</v>
      </c>
      <c r="E87" s="2" t="str">
        <f>VLOOKUP(D87,Справочник_товары,2)</f>
        <v>Кроссовки дл бега Reebok Floatride</v>
      </c>
      <c r="F87" s="6">
        <v>10</v>
      </c>
      <c r="G87" s="2">
        <f>VLOOKUP(D87,Справочник_товары,4) * (1 +VLOOKUP(D87,Справочник_товары,5))</f>
        <v>10385</v>
      </c>
      <c r="H87" s="20">
        <f>F87*G87</f>
        <v>103850</v>
      </c>
    </row>
    <row r="88" spans="3:8" ht="29" x14ac:dyDescent="0.35">
      <c r="C88" s="19">
        <v>45664</v>
      </c>
      <c r="D88" s="6">
        <v>2</v>
      </c>
      <c r="E88" s="2" t="str">
        <f>VLOOKUP(D88,Справочник_товары,2)</f>
        <v>Кроссовки женские Adidas Ultraboost</v>
      </c>
      <c r="F88" s="6">
        <v>3</v>
      </c>
      <c r="G88" s="2">
        <f>VLOOKUP(D88,Справочник_товары,4) * (1 +VLOOKUP(D88,Справочник_товары,5))</f>
        <v>11700</v>
      </c>
      <c r="H88" s="20">
        <f>F88*G88</f>
        <v>35100</v>
      </c>
    </row>
    <row r="89" spans="3:8" ht="29" x14ac:dyDescent="0.35">
      <c r="C89" s="19">
        <v>45664</v>
      </c>
      <c r="D89" s="6">
        <v>2</v>
      </c>
      <c r="E89" s="2" t="str">
        <f>VLOOKUP(D89,Справочник_товары,2)</f>
        <v>Кроссовки женские Adidas Ultraboost</v>
      </c>
      <c r="F89" s="6">
        <v>10</v>
      </c>
      <c r="G89" s="2">
        <f>VLOOKUP(D89,Справочник_товары,4) * (1 +VLOOKUP(D89,Справочник_товары,5))</f>
        <v>11700</v>
      </c>
      <c r="H89" s="20">
        <f>F89*G89</f>
        <v>117000</v>
      </c>
    </row>
    <row r="90" spans="3:8" ht="29" x14ac:dyDescent="0.35">
      <c r="C90" s="19">
        <v>45664</v>
      </c>
      <c r="D90" s="6">
        <v>5</v>
      </c>
      <c r="E90" s="2" t="str">
        <f>VLOOKUP(D90,Справочник_товары,2)</f>
        <v>Кроссовки повседневные New Balance</v>
      </c>
      <c r="F90" s="6">
        <v>1</v>
      </c>
      <c r="G90" s="2">
        <f>VLOOKUP(D90,Справочник_товары,4) * (1 +VLOOKUP(D90,Справочник_товары,5))</f>
        <v>7425</v>
      </c>
      <c r="H90" s="20">
        <f>F90*G90</f>
        <v>7425</v>
      </c>
    </row>
    <row r="91" spans="3:8" ht="29" x14ac:dyDescent="0.35">
      <c r="C91" s="19">
        <v>45664</v>
      </c>
      <c r="D91" s="6">
        <v>5</v>
      </c>
      <c r="E91" s="2" t="str">
        <f>VLOOKUP(D91,Справочник_товары,2)</f>
        <v>Кроссовки повседневные New Balance</v>
      </c>
      <c r="F91" s="6">
        <v>2</v>
      </c>
      <c r="G91" s="2">
        <f>VLOOKUP(D91,Справочник_товары,4) * (1 +VLOOKUP(D91,Справочник_товары,5))</f>
        <v>7425</v>
      </c>
      <c r="H91" s="20">
        <f>F91*G91</f>
        <v>14850</v>
      </c>
    </row>
    <row r="92" spans="3:8" ht="29" x14ac:dyDescent="0.35">
      <c r="C92" s="19">
        <v>45664</v>
      </c>
      <c r="D92" s="6">
        <v>6</v>
      </c>
      <c r="E92" s="2" t="str">
        <f>VLOOKUP(D92,Справочник_товары,2)</f>
        <v>Кроссовки треккинговые Salomon X-Hike</v>
      </c>
      <c r="F92" s="6">
        <v>4</v>
      </c>
      <c r="G92" s="2">
        <f>VLOOKUP(D92,Справочник_товары,4) * (1 +VLOOKUP(D92,Справочник_товары,5))</f>
        <v>7559.9999999999991</v>
      </c>
      <c r="H92" s="20">
        <f>F92*G92</f>
        <v>30239.999999999996</v>
      </c>
    </row>
    <row r="93" spans="3:8" ht="29" x14ac:dyDescent="0.35">
      <c r="C93" s="19">
        <v>45665</v>
      </c>
      <c r="D93" s="6">
        <v>3</v>
      </c>
      <c r="E93" s="2" t="str">
        <f>VLOOKUP(D93,Справочник_товары,2)</f>
        <v>Кросовки детские Puma Play</v>
      </c>
      <c r="F93" s="6">
        <v>5</v>
      </c>
      <c r="G93" s="2">
        <f>VLOOKUP(D93,Справочник_товары,4) * (1 +VLOOKUP(D93,Справочник_товары,5))</f>
        <v>5120</v>
      </c>
      <c r="H93" s="20">
        <f>F93*G93</f>
        <v>25600</v>
      </c>
    </row>
    <row r="94" spans="3:8" ht="29" x14ac:dyDescent="0.35">
      <c r="C94" s="19">
        <v>45665</v>
      </c>
      <c r="D94" s="6">
        <v>4</v>
      </c>
      <c r="E94" s="2" t="str">
        <f>VLOOKUP(D94,Справочник_товары,2)</f>
        <v>Кроссовки дл бега Reebok Floatride</v>
      </c>
      <c r="F94" s="6">
        <v>3</v>
      </c>
      <c r="G94" s="2">
        <f>VLOOKUP(D94,Справочник_товары,4) * (1 +VLOOKUP(D94,Справочник_товары,5))</f>
        <v>10385</v>
      </c>
      <c r="H94" s="20">
        <f>F94*G94</f>
        <v>31155</v>
      </c>
    </row>
    <row r="95" spans="3:8" ht="29" x14ac:dyDescent="0.35">
      <c r="C95" s="19">
        <v>45665</v>
      </c>
      <c r="D95" s="6">
        <v>4</v>
      </c>
      <c r="E95" s="2" t="str">
        <f>VLOOKUP(D95,Справочник_товары,2)</f>
        <v>Кроссовки дл бега Reebok Floatride</v>
      </c>
      <c r="F95" s="6">
        <v>8</v>
      </c>
      <c r="G95" s="2">
        <f>VLOOKUP(D95,Справочник_товары,4) * (1 +VLOOKUP(D95,Справочник_товары,5))</f>
        <v>10385</v>
      </c>
      <c r="H95" s="20">
        <f>F95*G95</f>
        <v>83080</v>
      </c>
    </row>
    <row r="96" spans="3:8" ht="29" x14ac:dyDescent="0.35">
      <c r="C96" s="19">
        <v>45665</v>
      </c>
      <c r="D96" s="6">
        <v>2</v>
      </c>
      <c r="E96" s="2" t="str">
        <f>VLOOKUP(D96,Справочник_товары,2)</f>
        <v>Кроссовки женские Adidas Ultraboost</v>
      </c>
      <c r="F96" s="6">
        <v>2</v>
      </c>
      <c r="G96" s="2">
        <f>VLOOKUP(D96,Справочник_товары,4) * (1 +VLOOKUP(D96,Справочник_товары,5))</f>
        <v>11700</v>
      </c>
      <c r="H96" s="20">
        <f>F96*G96</f>
        <v>23400</v>
      </c>
    </row>
    <row r="97" spans="3:8" ht="29" x14ac:dyDescent="0.35">
      <c r="C97" s="19">
        <v>45665</v>
      </c>
      <c r="D97" s="6">
        <v>2</v>
      </c>
      <c r="E97" s="2" t="str">
        <f>VLOOKUP(D97,Справочник_товары,2)</f>
        <v>Кроссовки женские Adidas Ultraboost</v>
      </c>
      <c r="F97" s="6">
        <v>3</v>
      </c>
      <c r="G97" s="2">
        <f>VLOOKUP(D97,Справочник_товары,4) * (1 +VLOOKUP(D97,Справочник_товары,5))</f>
        <v>11700</v>
      </c>
      <c r="H97" s="20">
        <f>F97*G97</f>
        <v>35100</v>
      </c>
    </row>
    <row r="98" spans="3:8" ht="29" x14ac:dyDescent="0.35">
      <c r="C98" s="19">
        <v>45665</v>
      </c>
      <c r="D98" s="6">
        <v>1</v>
      </c>
      <c r="E98" s="2" t="str">
        <f>VLOOKUP(D98,Справочник_товары,2)</f>
        <v>Кроссовки мужские Nike Air Max</v>
      </c>
      <c r="F98" s="6">
        <v>5</v>
      </c>
      <c r="G98" s="2">
        <f>VLOOKUP(D98,Справочник_товары,4) * (1 +VLOOKUP(D98,Справочник_товары,5))</f>
        <v>12325</v>
      </c>
      <c r="H98" s="20">
        <f>F98*G98</f>
        <v>61625</v>
      </c>
    </row>
    <row r="99" spans="3:8" ht="29" x14ac:dyDescent="0.35">
      <c r="C99" s="19">
        <v>45665</v>
      </c>
      <c r="D99" s="6">
        <v>1</v>
      </c>
      <c r="E99" s="2" t="str">
        <f>VLOOKUP(D99,Справочник_товары,2)</f>
        <v>Кроссовки мужские Nike Air Max</v>
      </c>
      <c r="F99" s="6">
        <v>7</v>
      </c>
      <c r="G99" s="2">
        <f>VLOOKUP(D99,Справочник_товары,4) * (1 +VLOOKUP(D99,Справочник_товары,5))</f>
        <v>12325</v>
      </c>
      <c r="H99" s="20">
        <f>F99*G99</f>
        <v>86275</v>
      </c>
    </row>
    <row r="100" spans="3:8" ht="29" x14ac:dyDescent="0.35">
      <c r="C100" s="19">
        <v>45665</v>
      </c>
      <c r="D100" s="6">
        <v>1</v>
      </c>
      <c r="E100" s="2" t="str">
        <f>VLOOKUP(D100,Справочник_товары,2)</f>
        <v>Кроссовки мужские Nike Air Max</v>
      </c>
      <c r="F100" s="6">
        <v>7</v>
      </c>
      <c r="G100" s="2">
        <f>VLOOKUP(D100,Справочник_товары,4) * (1 +VLOOKUP(D100,Справочник_товары,5))</f>
        <v>12325</v>
      </c>
      <c r="H100" s="20">
        <f>F100*G100</f>
        <v>86275</v>
      </c>
    </row>
    <row r="101" spans="3:8" ht="29" x14ac:dyDescent="0.35">
      <c r="C101" s="19">
        <v>45665</v>
      </c>
      <c r="D101" s="6">
        <v>6</v>
      </c>
      <c r="E101" s="2" t="str">
        <f>VLOOKUP(D101,Справочник_товары,2)</f>
        <v>Кроссовки треккинговые Salomon X-Hike</v>
      </c>
      <c r="F101" s="6">
        <v>3</v>
      </c>
      <c r="G101" s="2">
        <f>VLOOKUP(D101,Справочник_товары,4) * (1 +VLOOKUP(D101,Справочник_товары,5))</f>
        <v>7559.9999999999991</v>
      </c>
      <c r="H101" s="20">
        <f>F101*G101</f>
        <v>22679.999999999996</v>
      </c>
    </row>
    <row r="102" spans="3:8" ht="29" x14ac:dyDescent="0.35">
      <c r="C102" s="19">
        <v>45665</v>
      </c>
      <c r="D102" s="6">
        <v>6</v>
      </c>
      <c r="E102" s="2" t="str">
        <f>VLOOKUP(D102,Справочник_товары,2)</f>
        <v>Кроссовки треккинговые Salomon X-Hike</v>
      </c>
      <c r="F102" s="6">
        <v>9</v>
      </c>
      <c r="G102" s="2">
        <f>VLOOKUP(D102,Справочник_товары,4) * (1 +VLOOKUP(D102,Справочник_товары,5))</f>
        <v>7559.9999999999991</v>
      </c>
      <c r="H102" s="20">
        <f>F102*G102</f>
        <v>68039.999999999985</v>
      </c>
    </row>
    <row r="103" spans="3:8" ht="29" x14ac:dyDescent="0.35">
      <c r="C103" s="19">
        <v>45666</v>
      </c>
      <c r="D103" s="6">
        <v>3</v>
      </c>
      <c r="E103" s="2" t="str">
        <f>VLOOKUP(D103,Справочник_товары,2)</f>
        <v>Кросовки детские Puma Play</v>
      </c>
      <c r="F103" s="6">
        <v>9</v>
      </c>
      <c r="G103" s="2">
        <f>VLOOKUP(D103,Справочник_товары,4) * (1 +VLOOKUP(D103,Справочник_товары,5))</f>
        <v>5120</v>
      </c>
      <c r="H103" s="20">
        <f>F103*G103</f>
        <v>46080</v>
      </c>
    </row>
    <row r="104" spans="3:8" ht="29" x14ac:dyDescent="0.35">
      <c r="C104" s="19">
        <v>45666</v>
      </c>
      <c r="D104" s="6">
        <v>2</v>
      </c>
      <c r="E104" s="2" t="str">
        <f>VLOOKUP(D104,Справочник_товары,2)</f>
        <v>Кроссовки женские Adidas Ultraboost</v>
      </c>
      <c r="F104" s="6">
        <v>4</v>
      </c>
      <c r="G104" s="2">
        <f>VLOOKUP(D104,Справочник_товары,4) * (1 +VLOOKUP(D104,Справочник_товары,5))</f>
        <v>11700</v>
      </c>
      <c r="H104" s="20">
        <f>F104*G104</f>
        <v>46800</v>
      </c>
    </row>
    <row r="105" spans="3:8" ht="29" x14ac:dyDescent="0.35">
      <c r="C105" s="19">
        <v>45666</v>
      </c>
      <c r="D105" s="6">
        <v>2</v>
      </c>
      <c r="E105" s="2" t="str">
        <f>VLOOKUP(D105,Справочник_товары,2)</f>
        <v>Кроссовки женские Adidas Ultraboost</v>
      </c>
      <c r="F105" s="6">
        <v>5</v>
      </c>
      <c r="G105" s="2">
        <f>VLOOKUP(D105,Справочник_товары,4) * (1 +VLOOKUP(D105,Справочник_товары,5))</f>
        <v>11700</v>
      </c>
      <c r="H105" s="20">
        <f>F105*G105</f>
        <v>58500</v>
      </c>
    </row>
    <row r="106" spans="3:8" ht="29" x14ac:dyDescent="0.35">
      <c r="C106" s="19">
        <v>45666</v>
      </c>
      <c r="D106" s="6">
        <v>2</v>
      </c>
      <c r="E106" s="2" t="str">
        <f>VLOOKUP(D106,Справочник_товары,2)</f>
        <v>Кроссовки женские Adidas Ultraboost</v>
      </c>
      <c r="F106" s="6">
        <v>5</v>
      </c>
      <c r="G106" s="2">
        <f>VLOOKUP(D106,Справочник_товары,4) * (1 +VLOOKUP(D106,Справочник_товары,5))</f>
        <v>11700</v>
      </c>
      <c r="H106" s="20">
        <f>F106*G106</f>
        <v>58500</v>
      </c>
    </row>
    <row r="107" spans="3:8" ht="29" x14ac:dyDescent="0.35">
      <c r="C107" s="19">
        <v>45666</v>
      </c>
      <c r="D107" s="6">
        <v>2</v>
      </c>
      <c r="E107" s="2" t="str">
        <f>VLOOKUP(D107,Справочник_товары,2)</f>
        <v>Кроссовки женские Adidas Ultraboost</v>
      </c>
      <c r="F107" s="6">
        <v>6</v>
      </c>
      <c r="G107" s="2">
        <f>VLOOKUP(D107,Справочник_товары,4) * (1 +VLOOKUP(D107,Справочник_товары,5))</f>
        <v>11700</v>
      </c>
      <c r="H107" s="20">
        <f>F107*G107</f>
        <v>70200</v>
      </c>
    </row>
    <row r="108" spans="3:8" ht="29" x14ac:dyDescent="0.35">
      <c r="C108" s="19">
        <v>45666</v>
      </c>
      <c r="D108" s="6">
        <v>1</v>
      </c>
      <c r="E108" s="2" t="str">
        <f>VLOOKUP(D108,Справочник_товары,2)</f>
        <v>Кроссовки мужские Nike Air Max</v>
      </c>
      <c r="F108" s="6">
        <v>10</v>
      </c>
      <c r="G108" s="2">
        <f>VLOOKUP(D108,Справочник_товары,4) * (1 +VLOOKUP(D108,Справочник_товары,5))</f>
        <v>12325</v>
      </c>
      <c r="H108" s="20">
        <f>F108*G108</f>
        <v>123250</v>
      </c>
    </row>
    <row r="109" spans="3:8" ht="29" x14ac:dyDescent="0.35">
      <c r="C109" s="19">
        <v>45666</v>
      </c>
      <c r="D109" s="6">
        <v>5</v>
      </c>
      <c r="E109" s="2" t="str">
        <f>VLOOKUP(D109,Справочник_товары,2)</f>
        <v>Кроссовки повседневные New Balance</v>
      </c>
      <c r="F109" s="6">
        <v>3</v>
      </c>
      <c r="G109" s="2">
        <f>VLOOKUP(D109,Справочник_товары,4) * (1 +VLOOKUP(D109,Справочник_товары,5))</f>
        <v>7425</v>
      </c>
      <c r="H109" s="20">
        <f>F109*G109</f>
        <v>22275</v>
      </c>
    </row>
    <row r="110" spans="3:8" ht="29" x14ac:dyDescent="0.35">
      <c r="C110" s="19">
        <v>45666</v>
      </c>
      <c r="D110" s="6">
        <v>6</v>
      </c>
      <c r="E110" s="2" t="str">
        <f>VLOOKUP(D110,Справочник_товары,2)</f>
        <v>Кроссовки треккинговые Salomon X-Hike</v>
      </c>
      <c r="F110" s="6">
        <v>3</v>
      </c>
      <c r="G110" s="2">
        <f>VLOOKUP(D110,Справочник_товары,4) * (1 +VLOOKUP(D110,Справочник_товары,5))</f>
        <v>7559.9999999999991</v>
      </c>
      <c r="H110" s="20">
        <f>F110*G110</f>
        <v>22679.999999999996</v>
      </c>
    </row>
    <row r="111" spans="3:8" ht="29" x14ac:dyDescent="0.35">
      <c r="C111" s="19">
        <v>45666</v>
      </c>
      <c r="D111" s="6">
        <v>6</v>
      </c>
      <c r="E111" s="2" t="str">
        <f>VLOOKUP(D111,Справочник_товары,2)</f>
        <v>Кроссовки треккинговые Salomon X-Hike</v>
      </c>
      <c r="F111" s="6">
        <v>9</v>
      </c>
      <c r="G111" s="2">
        <f>VLOOKUP(D111,Справочник_товары,4) * (1 +VLOOKUP(D111,Справочник_товары,5))</f>
        <v>7559.9999999999991</v>
      </c>
      <c r="H111" s="20">
        <f>F111*G111</f>
        <v>68039.999999999985</v>
      </c>
    </row>
    <row r="112" spans="3:8" ht="29" x14ac:dyDescent="0.35">
      <c r="C112" s="19">
        <v>45667</v>
      </c>
      <c r="D112" s="6">
        <v>3</v>
      </c>
      <c r="E112" s="2" t="str">
        <f>VLOOKUP(D112,Справочник_товары,2)</f>
        <v>Кросовки детские Puma Play</v>
      </c>
      <c r="F112" s="6">
        <v>5</v>
      </c>
      <c r="G112" s="2">
        <f>VLOOKUP(D112,Справочник_товары,4) * (1 +VLOOKUP(D112,Справочник_товары,5))</f>
        <v>5120</v>
      </c>
      <c r="H112" s="20">
        <f>F112*G112</f>
        <v>25600</v>
      </c>
    </row>
    <row r="113" spans="3:8" ht="29" x14ac:dyDescent="0.35">
      <c r="C113" s="19">
        <v>45667</v>
      </c>
      <c r="D113" s="6">
        <v>4</v>
      </c>
      <c r="E113" s="2" t="str">
        <f>VLOOKUP(D113,Справочник_товары,2)</f>
        <v>Кроссовки дл бега Reebok Floatride</v>
      </c>
      <c r="F113" s="6">
        <v>6</v>
      </c>
      <c r="G113" s="2">
        <f>VLOOKUP(D113,Справочник_товары,4) * (1 +VLOOKUP(D113,Справочник_товары,5))</f>
        <v>10385</v>
      </c>
      <c r="H113" s="20">
        <f>F113*G113</f>
        <v>62310</v>
      </c>
    </row>
    <row r="114" spans="3:8" ht="29" x14ac:dyDescent="0.35">
      <c r="C114" s="19">
        <v>45667</v>
      </c>
      <c r="D114" s="6">
        <v>4</v>
      </c>
      <c r="E114" s="2" t="str">
        <f>VLOOKUP(D114,Справочник_товары,2)</f>
        <v>Кроссовки дл бега Reebok Floatride</v>
      </c>
      <c r="F114" s="6">
        <v>8</v>
      </c>
      <c r="G114" s="2">
        <f>VLOOKUP(D114,Справочник_товары,4) * (1 +VLOOKUP(D114,Справочник_товары,5))</f>
        <v>10385</v>
      </c>
      <c r="H114" s="20">
        <f>F114*G114</f>
        <v>83080</v>
      </c>
    </row>
    <row r="115" spans="3:8" ht="29" x14ac:dyDescent="0.35">
      <c r="C115" s="19">
        <v>45667</v>
      </c>
      <c r="D115" s="6">
        <v>2</v>
      </c>
      <c r="E115" s="2" t="str">
        <f>VLOOKUP(D115,Справочник_товары,2)</f>
        <v>Кроссовки женские Adidas Ultraboost</v>
      </c>
      <c r="F115" s="6">
        <v>3</v>
      </c>
      <c r="G115" s="2">
        <f>VLOOKUP(D115,Справочник_товары,4) * (1 +VLOOKUP(D115,Справочник_товары,5))</f>
        <v>11700</v>
      </c>
      <c r="H115" s="20">
        <f>F115*G115</f>
        <v>35100</v>
      </c>
    </row>
    <row r="116" spans="3:8" ht="29" x14ac:dyDescent="0.35">
      <c r="C116" s="19">
        <v>45667</v>
      </c>
      <c r="D116" s="6">
        <v>1</v>
      </c>
      <c r="E116" s="2" t="str">
        <f>VLOOKUP(D116,Справочник_товары,2)</f>
        <v>Кроссовки мужские Nike Air Max</v>
      </c>
      <c r="F116" s="6">
        <v>4</v>
      </c>
      <c r="G116" s="2">
        <f>VLOOKUP(D116,Справочник_товары,4) * (1 +VLOOKUP(D116,Справочник_товары,5))</f>
        <v>12325</v>
      </c>
      <c r="H116" s="20">
        <f>F116*G116</f>
        <v>49300</v>
      </c>
    </row>
    <row r="117" spans="3:8" ht="29" x14ac:dyDescent="0.35">
      <c r="C117" s="19">
        <v>45667</v>
      </c>
      <c r="D117" s="6">
        <v>1</v>
      </c>
      <c r="E117" s="2" t="str">
        <f>VLOOKUP(D117,Справочник_товары,2)</f>
        <v>Кроссовки мужские Nike Air Max</v>
      </c>
      <c r="F117" s="6">
        <v>4</v>
      </c>
      <c r="G117" s="2">
        <f>VLOOKUP(D117,Справочник_товары,4) * (1 +VLOOKUP(D117,Справочник_товары,5))</f>
        <v>12325</v>
      </c>
      <c r="H117" s="20">
        <f>F117*G117</f>
        <v>49300</v>
      </c>
    </row>
    <row r="118" spans="3:8" ht="29" x14ac:dyDescent="0.35">
      <c r="C118" s="19">
        <v>45667</v>
      </c>
      <c r="D118" s="6">
        <v>1</v>
      </c>
      <c r="E118" s="2" t="str">
        <f>VLOOKUP(D118,Справочник_товары,2)</f>
        <v>Кроссовки мужские Nike Air Max</v>
      </c>
      <c r="F118" s="6">
        <v>9</v>
      </c>
      <c r="G118" s="2">
        <f>VLOOKUP(D118,Справочник_товары,4) * (1 +VLOOKUP(D118,Справочник_товары,5))</f>
        <v>12325</v>
      </c>
      <c r="H118" s="20">
        <f>F118*G118</f>
        <v>110925</v>
      </c>
    </row>
    <row r="119" spans="3:8" ht="29" x14ac:dyDescent="0.35">
      <c r="C119" s="19">
        <v>45667</v>
      </c>
      <c r="D119" s="6">
        <v>1</v>
      </c>
      <c r="E119" s="2" t="str">
        <f>VLOOKUP(D119,Справочник_товары,2)</f>
        <v>Кроссовки мужские Nike Air Max</v>
      </c>
      <c r="F119" s="6">
        <v>9</v>
      </c>
      <c r="G119" s="2">
        <f>VLOOKUP(D119,Справочник_товары,4) * (1 +VLOOKUP(D119,Справочник_товары,5))</f>
        <v>12325</v>
      </c>
      <c r="H119" s="20">
        <f>F119*G119</f>
        <v>110925</v>
      </c>
    </row>
    <row r="120" spans="3:8" ht="29" x14ac:dyDescent="0.35">
      <c r="C120" s="19">
        <v>45667</v>
      </c>
      <c r="D120" s="6">
        <v>1</v>
      </c>
      <c r="E120" s="2" t="str">
        <f>VLOOKUP(D120,Справочник_товары,2)</f>
        <v>Кроссовки мужские Nike Air Max</v>
      </c>
      <c r="F120" s="6">
        <v>10</v>
      </c>
      <c r="G120" s="2">
        <f>VLOOKUP(D120,Справочник_товары,4) * (1 +VLOOKUP(D120,Справочник_товары,5))</f>
        <v>12325</v>
      </c>
      <c r="H120" s="20">
        <f>F120*G120</f>
        <v>123250</v>
      </c>
    </row>
    <row r="121" spans="3:8" ht="29" x14ac:dyDescent="0.35">
      <c r="C121" s="19">
        <v>45667</v>
      </c>
      <c r="D121" s="6">
        <v>5</v>
      </c>
      <c r="E121" s="2" t="str">
        <f>VLOOKUP(D121,Справочник_товары,2)</f>
        <v>Кроссовки повседневные New Balance</v>
      </c>
      <c r="F121" s="6">
        <v>1</v>
      </c>
      <c r="G121" s="2">
        <f>VLOOKUP(D121,Справочник_товары,4) * (1 +VLOOKUP(D121,Справочник_товары,5))</f>
        <v>7425</v>
      </c>
      <c r="H121" s="20">
        <f>F121*G121</f>
        <v>7425</v>
      </c>
    </row>
    <row r="122" spans="3:8" ht="29" x14ac:dyDescent="0.35">
      <c r="C122" s="19">
        <v>45667</v>
      </c>
      <c r="D122" s="6">
        <v>5</v>
      </c>
      <c r="E122" s="2" t="str">
        <f>VLOOKUP(D122,Справочник_товары,2)</f>
        <v>Кроссовки повседневные New Balance</v>
      </c>
      <c r="F122" s="6">
        <v>1</v>
      </c>
      <c r="G122" s="2">
        <f>VLOOKUP(D122,Справочник_товары,4) * (1 +VLOOKUP(D122,Справочник_товары,5))</f>
        <v>7425</v>
      </c>
      <c r="H122" s="20">
        <f>F122*G122</f>
        <v>7425</v>
      </c>
    </row>
    <row r="123" spans="3:8" ht="29" x14ac:dyDescent="0.35">
      <c r="C123" s="19">
        <v>45667</v>
      </c>
      <c r="D123" s="6">
        <v>6</v>
      </c>
      <c r="E123" s="2" t="str">
        <f>VLOOKUP(D123,Справочник_товары,2)</f>
        <v>Кроссовки треккинговые Salomon X-Hike</v>
      </c>
      <c r="F123" s="6">
        <v>5</v>
      </c>
      <c r="G123" s="2">
        <f>VLOOKUP(D123,Справочник_товары,4) * (1 +VLOOKUP(D123,Справочник_товары,5))</f>
        <v>7559.9999999999991</v>
      </c>
      <c r="H123" s="20">
        <f>F123*G123</f>
        <v>37799.999999999993</v>
      </c>
    </row>
    <row r="124" spans="3:8" ht="29" x14ac:dyDescent="0.35">
      <c r="C124" s="19">
        <v>45668</v>
      </c>
      <c r="D124" s="6">
        <v>3</v>
      </c>
      <c r="E124" s="2" t="str">
        <f>VLOOKUP(D124,Справочник_товары,2)</f>
        <v>Кросовки детские Puma Play</v>
      </c>
      <c r="F124" s="6">
        <v>7</v>
      </c>
      <c r="G124" s="2">
        <f>VLOOKUP(D124,Справочник_товары,4) * (1 +VLOOKUP(D124,Справочник_товары,5))</f>
        <v>5120</v>
      </c>
      <c r="H124" s="20">
        <f>F124*G124</f>
        <v>35840</v>
      </c>
    </row>
    <row r="125" spans="3:8" ht="29" x14ac:dyDescent="0.35">
      <c r="C125" s="19">
        <v>45668</v>
      </c>
      <c r="D125" s="6">
        <v>3</v>
      </c>
      <c r="E125" s="2" t="str">
        <f>VLOOKUP(D125,Справочник_товары,2)</f>
        <v>Кросовки детские Puma Play</v>
      </c>
      <c r="F125" s="6">
        <v>10</v>
      </c>
      <c r="G125" s="2">
        <f>VLOOKUP(D125,Справочник_товары,4) * (1 +VLOOKUP(D125,Справочник_товары,5))</f>
        <v>5120</v>
      </c>
      <c r="H125" s="20">
        <f>F125*G125</f>
        <v>51200</v>
      </c>
    </row>
    <row r="126" spans="3:8" ht="29" x14ac:dyDescent="0.35">
      <c r="C126" s="19">
        <v>45668</v>
      </c>
      <c r="D126" s="6">
        <v>4</v>
      </c>
      <c r="E126" s="2" t="str">
        <f>VLOOKUP(D126,Справочник_товары,2)</f>
        <v>Кроссовки дл бега Reebok Floatride</v>
      </c>
      <c r="F126" s="6">
        <v>1</v>
      </c>
      <c r="G126" s="2">
        <f>VLOOKUP(D126,Справочник_товары,4) * (1 +VLOOKUP(D126,Справочник_товары,5))</f>
        <v>10385</v>
      </c>
      <c r="H126" s="20">
        <f>F126*G126</f>
        <v>10385</v>
      </c>
    </row>
    <row r="127" spans="3:8" ht="29" x14ac:dyDescent="0.35">
      <c r="C127" s="19">
        <v>45668</v>
      </c>
      <c r="D127" s="6">
        <v>4</v>
      </c>
      <c r="E127" s="2" t="str">
        <f>VLOOKUP(D127,Справочник_товары,2)</f>
        <v>Кроссовки дл бега Reebok Floatride</v>
      </c>
      <c r="F127" s="6">
        <v>1</v>
      </c>
      <c r="G127" s="2">
        <f>VLOOKUP(D127,Справочник_товары,4) * (1 +VLOOKUP(D127,Справочник_товары,5))</f>
        <v>10385</v>
      </c>
      <c r="H127" s="20">
        <f>F127*G127</f>
        <v>10385</v>
      </c>
    </row>
    <row r="128" spans="3:8" ht="29" x14ac:dyDescent="0.35">
      <c r="C128" s="19">
        <v>45668</v>
      </c>
      <c r="D128" s="6">
        <v>2</v>
      </c>
      <c r="E128" s="2" t="str">
        <f>VLOOKUP(D128,Справочник_товары,2)</f>
        <v>Кроссовки женские Adidas Ultraboost</v>
      </c>
      <c r="F128" s="6">
        <v>1</v>
      </c>
      <c r="G128" s="2">
        <f>VLOOKUP(D128,Справочник_товары,4) * (1 +VLOOKUP(D128,Справочник_товары,5))</f>
        <v>11700</v>
      </c>
      <c r="H128" s="20">
        <f>F128*G128</f>
        <v>11700</v>
      </c>
    </row>
    <row r="129" spans="3:8" ht="29" x14ac:dyDescent="0.35">
      <c r="C129" s="19">
        <v>45668</v>
      </c>
      <c r="D129" s="6">
        <v>2</v>
      </c>
      <c r="E129" s="2" t="str">
        <f>VLOOKUP(D129,Справочник_товары,2)</f>
        <v>Кроссовки женские Adidas Ultraboost</v>
      </c>
      <c r="F129" s="6">
        <v>5</v>
      </c>
      <c r="G129" s="2">
        <f>VLOOKUP(D129,Справочник_товары,4) * (1 +VLOOKUP(D129,Справочник_товары,5))</f>
        <v>11700</v>
      </c>
      <c r="H129" s="20">
        <f>F129*G129</f>
        <v>58500</v>
      </c>
    </row>
    <row r="130" spans="3:8" ht="29" x14ac:dyDescent="0.35">
      <c r="C130" s="19">
        <v>45668</v>
      </c>
      <c r="D130" s="6">
        <v>2</v>
      </c>
      <c r="E130" s="2" t="str">
        <f>VLOOKUP(D130,Справочник_товары,2)</f>
        <v>Кроссовки женские Adidas Ultraboost</v>
      </c>
      <c r="F130" s="6">
        <v>9</v>
      </c>
      <c r="G130" s="2">
        <f>VLOOKUP(D130,Справочник_товары,4) * (1 +VLOOKUP(D130,Справочник_товары,5))</f>
        <v>11700</v>
      </c>
      <c r="H130" s="20">
        <f>F130*G130</f>
        <v>105300</v>
      </c>
    </row>
    <row r="131" spans="3:8" ht="29" x14ac:dyDescent="0.35">
      <c r="C131" s="19">
        <v>45668</v>
      </c>
      <c r="D131" s="6">
        <v>1</v>
      </c>
      <c r="E131" s="2" t="str">
        <f>VLOOKUP(D131,Справочник_товары,2)</f>
        <v>Кроссовки мужские Nike Air Max</v>
      </c>
      <c r="F131" s="6">
        <v>2</v>
      </c>
      <c r="G131" s="2">
        <f>VLOOKUP(D131,Справочник_товары,4) * (1 +VLOOKUP(D131,Справочник_товары,5))</f>
        <v>12325</v>
      </c>
      <c r="H131" s="20">
        <f>F131*G131</f>
        <v>24650</v>
      </c>
    </row>
    <row r="132" spans="3:8" ht="29" x14ac:dyDescent="0.35">
      <c r="C132" s="19">
        <v>45668</v>
      </c>
      <c r="D132" s="6">
        <v>1</v>
      </c>
      <c r="E132" s="2" t="str">
        <f>VLOOKUP(D132,Справочник_товары,2)</f>
        <v>Кроссовки мужские Nike Air Max</v>
      </c>
      <c r="F132" s="6">
        <v>5</v>
      </c>
      <c r="G132" s="2">
        <f>VLOOKUP(D132,Справочник_товары,4) * (1 +VLOOKUP(D132,Справочник_товары,5))</f>
        <v>12325</v>
      </c>
      <c r="H132" s="20">
        <f>F132*G132</f>
        <v>61625</v>
      </c>
    </row>
    <row r="133" spans="3:8" ht="29" x14ac:dyDescent="0.35">
      <c r="C133" s="19">
        <v>45668</v>
      </c>
      <c r="D133" s="6">
        <v>1</v>
      </c>
      <c r="E133" s="2" t="str">
        <f>VLOOKUP(D133,Справочник_товары,2)</f>
        <v>Кроссовки мужские Nike Air Max</v>
      </c>
      <c r="F133" s="6">
        <v>6</v>
      </c>
      <c r="G133" s="2">
        <f>VLOOKUP(D133,Справочник_товары,4) * (1 +VLOOKUP(D133,Справочник_товары,5))</f>
        <v>12325</v>
      </c>
      <c r="H133" s="20">
        <f>F133*G133</f>
        <v>73950</v>
      </c>
    </row>
    <row r="134" spans="3:8" ht="29" x14ac:dyDescent="0.35">
      <c r="C134" s="19">
        <v>45668</v>
      </c>
      <c r="D134" s="6">
        <v>1</v>
      </c>
      <c r="E134" s="2" t="str">
        <f>VLOOKUP(D134,Справочник_товары,2)</f>
        <v>Кроссовки мужские Nike Air Max</v>
      </c>
      <c r="F134" s="6">
        <v>10</v>
      </c>
      <c r="G134" s="2">
        <f>VLOOKUP(D134,Справочник_товары,4) * (1 +VLOOKUP(D134,Справочник_товары,5))</f>
        <v>12325</v>
      </c>
      <c r="H134" s="20">
        <f>F134*G134</f>
        <v>123250</v>
      </c>
    </row>
    <row r="135" spans="3:8" ht="29" x14ac:dyDescent="0.35">
      <c r="C135" s="19">
        <v>45668</v>
      </c>
      <c r="D135" s="6">
        <v>5</v>
      </c>
      <c r="E135" s="2" t="str">
        <f>VLOOKUP(D135,Справочник_товары,2)</f>
        <v>Кроссовки повседневные New Balance</v>
      </c>
      <c r="F135" s="6">
        <v>3</v>
      </c>
      <c r="G135" s="2">
        <f>VLOOKUP(D135,Справочник_товары,4) * (1 +VLOOKUP(D135,Справочник_товары,5))</f>
        <v>7425</v>
      </c>
      <c r="H135" s="20">
        <f>F135*G135</f>
        <v>22275</v>
      </c>
    </row>
    <row r="136" spans="3:8" ht="29" x14ac:dyDescent="0.35">
      <c r="C136" s="19">
        <v>45668</v>
      </c>
      <c r="D136" s="6">
        <v>5</v>
      </c>
      <c r="E136" s="2" t="str">
        <f>VLOOKUP(D136,Справочник_товары,2)</f>
        <v>Кроссовки повседневные New Balance</v>
      </c>
      <c r="F136" s="6">
        <v>7</v>
      </c>
      <c r="G136" s="2">
        <f>VLOOKUP(D136,Справочник_товары,4) * (1 +VLOOKUP(D136,Справочник_товары,5))</f>
        <v>7425</v>
      </c>
      <c r="H136" s="20">
        <f>F136*G136</f>
        <v>51975</v>
      </c>
    </row>
    <row r="137" spans="3:8" ht="29" x14ac:dyDescent="0.35">
      <c r="C137" s="19">
        <v>45668</v>
      </c>
      <c r="D137" s="6">
        <v>6</v>
      </c>
      <c r="E137" s="2" t="str">
        <f>VLOOKUP(D137,Справочник_товары,2)</f>
        <v>Кроссовки треккинговые Salomon X-Hike</v>
      </c>
      <c r="F137" s="6">
        <v>6</v>
      </c>
      <c r="G137" s="2">
        <f>VLOOKUP(D137,Справочник_товары,4) * (1 +VLOOKUP(D137,Справочник_товары,5))</f>
        <v>7559.9999999999991</v>
      </c>
      <c r="H137" s="20">
        <f>F137*G137</f>
        <v>45359.999999999993</v>
      </c>
    </row>
    <row r="138" spans="3:8" ht="29" x14ac:dyDescent="0.35">
      <c r="C138" s="19">
        <v>45668</v>
      </c>
      <c r="D138" s="6">
        <v>6</v>
      </c>
      <c r="E138" s="2" t="str">
        <f>VLOOKUP(D138,Справочник_товары,2)</f>
        <v>Кроссовки треккинговые Salomon X-Hike</v>
      </c>
      <c r="F138" s="6">
        <v>8</v>
      </c>
      <c r="G138" s="2">
        <f>VLOOKUP(D138,Справочник_товары,4) * (1 +VLOOKUP(D138,Справочник_товары,5))</f>
        <v>7559.9999999999991</v>
      </c>
      <c r="H138" s="20">
        <f>F138*G138</f>
        <v>60479.999999999993</v>
      </c>
    </row>
    <row r="139" spans="3:8" ht="29" x14ac:dyDescent="0.35">
      <c r="C139" s="19">
        <v>45669</v>
      </c>
      <c r="D139" s="6">
        <v>4</v>
      </c>
      <c r="E139" s="2" t="str">
        <f>VLOOKUP(D139,Справочник_товары,2)</f>
        <v>Кроссовки дл бега Reebok Floatride</v>
      </c>
      <c r="F139" s="6">
        <v>2</v>
      </c>
      <c r="G139" s="2">
        <f>VLOOKUP(D139,Справочник_товары,4) * (1 +VLOOKUP(D139,Справочник_товары,5))</f>
        <v>10385</v>
      </c>
      <c r="H139" s="20">
        <f>F139*G139</f>
        <v>20770</v>
      </c>
    </row>
    <row r="140" spans="3:8" ht="29" x14ac:dyDescent="0.35">
      <c r="C140" s="19">
        <v>45669</v>
      </c>
      <c r="D140" s="6">
        <v>4</v>
      </c>
      <c r="E140" s="2" t="str">
        <f>VLOOKUP(D140,Справочник_товары,2)</f>
        <v>Кроссовки дл бега Reebok Floatride</v>
      </c>
      <c r="F140" s="6">
        <v>10</v>
      </c>
      <c r="G140" s="2">
        <f>VLOOKUP(D140,Справочник_товары,4) * (1 +VLOOKUP(D140,Справочник_товары,5))</f>
        <v>10385</v>
      </c>
      <c r="H140" s="20">
        <f>F140*G140</f>
        <v>103850</v>
      </c>
    </row>
    <row r="141" spans="3:8" ht="29" x14ac:dyDescent="0.35">
      <c r="C141" s="19">
        <v>45669</v>
      </c>
      <c r="D141" s="6">
        <v>4</v>
      </c>
      <c r="E141" s="2" t="str">
        <f>VLOOKUP(D141,Справочник_товары,2)</f>
        <v>Кроссовки дл бега Reebok Floatride</v>
      </c>
      <c r="F141" s="6">
        <v>10</v>
      </c>
      <c r="G141" s="2">
        <f>VLOOKUP(D141,Справочник_товары,4) * (1 +VLOOKUP(D141,Справочник_товары,5))</f>
        <v>10385</v>
      </c>
      <c r="H141" s="20">
        <f>F141*G141</f>
        <v>103850</v>
      </c>
    </row>
    <row r="142" spans="3:8" ht="29" x14ac:dyDescent="0.35">
      <c r="C142" s="19">
        <v>45669</v>
      </c>
      <c r="D142" s="6">
        <v>2</v>
      </c>
      <c r="E142" s="2" t="str">
        <f>VLOOKUP(D142,Справочник_товары,2)</f>
        <v>Кроссовки женские Adidas Ultraboost</v>
      </c>
      <c r="F142" s="6">
        <v>10</v>
      </c>
      <c r="G142" s="2">
        <f>VLOOKUP(D142,Справочник_товары,4) * (1 +VLOOKUP(D142,Справочник_товары,5))</f>
        <v>11700</v>
      </c>
      <c r="H142" s="20">
        <f>F142*G142</f>
        <v>117000</v>
      </c>
    </row>
    <row r="143" spans="3:8" ht="29" x14ac:dyDescent="0.35">
      <c r="C143" s="19">
        <v>45669</v>
      </c>
      <c r="D143" s="6">
        <v>1</v>
      </c>
      <c r="E143" s="2" t="str">
        <f>VLOOKUP(D143,Справочник_товары,2)</f>
        <v>Кроссовки мужские Nike Air Max</v>
      </c>
      <c r="F143" s="6">
        <v>9</v>
      </c>
      <c r="G143" s="2">
        <f>VLOOKUP(D143,Справочник_товары,4) * (1 +VLOOKUP(D143,Справочник_товары,5))</f>
        <v>12325</v>
      </c>
      <c r="H143" s="20">
        <f>F143*G143</f>
        <v>110925</v>
      </c>
    </row>
    <row r="144" spans="3:8" ht="29" x14ac:dyDescent="0.35">
      <c r="C144" s="19">
        <v>45669</v>
      </c>
      <c r="D144" s="6">
        <v>5</v>
      </c>
      <c r="E144" s="2" t="str">
        <f>VLOOKUP(D144,Справочник_товары,2)</f>
        <v>Кроссовки повседневные New Balance</v>
      </c>
      <c r="F144" s="6">
        <v>3</v>
      </c>
      <c r="G144" s="2">
        <f>VLOOKUP(D144,Справочник_товары,4) * (1 +VLOOKUP(D144,Справочник_товары,5))</f>
        <v>7425</v>
      </c>
      <c r="H144" s="20">
        <f>F144*G144</f>
        <v>22275</v>
      </c>
    </row>
    <row r="145" spans="3:8" ht="29" x14ac:dyDescent="0.35">
      <c r="C145" s="19">
        <v>45669</v>
      </c>
      <c r="D145" s="6">
        <v>6</v>
      </c>
      <c r="E145" s="2" t="str">
        <f>VLOOKUP(D145,Справочник_товары,2)</f>
        <v>Кроссовки треккинговые Salomon X-Hike</v>
      </c>
      <c r="F145" s="6">
        <v>8</v>
      </c>
      <c r="G145" s="2">
        <f>VLOOKUP(D145,Справочник_товары,4) * (1 +VLOOKUP(D145,Справочник_товары,5))</f>
        <v>7559.9999999999991</v>
      </c>
      <c r="H145" s="20">
        <f>F145*G145</f>
        <v>60479.999999999993</v>
      </c>
    </row>
    <row r="146" spans="3:8" ht="29" x14ac:dyDescent="0.35">
      <c r="C146" s="19">
        <v>45669</v>
      </c>
      <c r="D146" s="6">
        <v>6</v>
      </c>
      <c r="E146" s="2" t="str">
        <f>VLOOKUP(D146,Справочник_товары,2)</f>
        <v>Кроссовки треккинговые Salomon X-Hike</v>
      </c>
      <c r="F146" s="6">
        <v>9</v>
      </c>
      <c r="G146" s="2">
        <f>VLOOKUP(D146,Справочник_товары,4) * (1 +VLOOKUP(D146,Справочник_товары,5))</f>
        <v>7559.9999999999991</v>
      </c>
      <c r="H146" s="20">
        <f>F146*G146</f>
        <v>68039.999999999985</v>
      </c>
    </row>
    <row r="147" spans="3:8" ht="29" x14ac:dyDescent="0.35">
      <c r="C147" s="19">
        <v>45670</v>
      </c>
      <c r="D147" s="6">
        <v>3</v>
      </c>
      <c r="E147" s="2" t="str">
        <f>VLOOKUP(D147,Справочник_товары,2)</f>
        <v>Кросовки детские Puma Play</v>
      </c>
      <c r="F147" s="6">
        <v>2</v>
      </c>
      <c r="G147" s="2">
        <f>VLOOKUP(D147,Справочник_товары,4) * (1 +VLOOKUP(D147,Справочник_товары,5))</f>
        <v>5120</v>
      </c>
      <c r="H147" s="20">
        <f>F147*G147</f>
        <v>10240</v>
      </c>
    </row>
    <row r="148" spans="3:8" ht="29" x14ac:dyDescent="0.35">
      <c r="C148" s="19">
        <v>45670</v>
      </c>
      <c r="D148" s="6">
        <v>3</v>
      </c>
      <c r="E148" s="2" t="str">
        <f>VLOOKUP(D148,Справочник_товары,2)</f>
        <v>Кросовки детские Puma Play</v>
      </c>
      <c r="F148" s="6">
        <v>5</v>
      </c>
      <c r="G148" s="2">
        <f>VLOOKUP(D148,Справочник_товары,4) * (1 +VLOOKUP(D148,Справочник_товары,5))</f>
        <v>5120</v>
      </c>
      <c r="H148" s="20">
        <f>F148*G148</f>
        <v>25600</v>
      </c>
    </row>
    <row r="149" spans="3:8" ht="29" x14ac:dyDescent="0.35">
      <c r="C149" s="19">
        <v>45670</v>
      </c>
      <c r="D149" s="6">
        <v>3</v>
      </c>
      <c r="E149" s="2" t="str">
        <f>VLOOKUP(D149,Справочник_товары,2)</f>
        <v>Кросовки детские Puma Play</v>
      </c>
      <c r="F149" s="6">
        <v>6</v>
      </c>
      <c r="G149" s="2">
        <f>VLOOKUP(D149,Справочник_товары,4) * (1 +VLOOKUP(D149,Справочник_товары,5))</f>
        <v>5120</v>
      </c>
      <c r="H149" s="20">
        <f>F149*G149</f>
        <v>30720</v>
      </c>
    </row>
    <row r="150" spans="3:8" ht="29" x14ac:dyDescent="0.35">
      <c r="C150" s="19">
        <v>45670</v>
      </c>
      <c r="D150" s="6">
        <v>3</v>
      </c>
      <c r="E150" s="2" t="str">
        <f>VLOOKUP(D150,Справочник_товары,2)</f>
        <v>Кросовки детские Puma Play</v>
      </c>
      <c r="F150" s="6">
        <v>9</v>
      </c>
      <c r="G150" s="2">
        <f>VLOOKUP(D150,Справочник_товары,4) * (1 +VLOOKUP(D150,Справочник_товары,5))</f>
        <v>5120</v>
      </c>
      <c r="H150" s="20">
        <f>F150*G150</f>
        <v>46080</v>
      </c>
    </row>
    <row r="151" spans="3:8" ht="29" x14ac:dyDescent="0.35">
      <c r="C151" s="19">
        <v>45670</v>
      </c>
      <c r="D151" s="6">
        <v>3</v>
      </c>
      <c r="E151" s="2" t="str">
        <f>VLOOKUP(D151,Справочник_товары,2)</f>
        <v>Кросовки детские Puma Play</v>
      </c>
      <c r="F151" s="6">
        <v>10</v>
      </c>
      <c r="G151" s="2">
        <f>VLOOKUP(D151,Справочник_товары,4) * (1 +VLOOKUP(D151,Справочник_товары,5))</f>
        <v>5120</v>
      </c>
      <c r="H151" s="20">
        <f>F151*G151</f>
        <v>51200</v>
      </c>
    </row>
    <row r="152" spans="3:8" ht="29" x14ac:dyDescent="0.35">
      <c r="C152" s="19">
        <v>45670</v>
      </c>
      <c r="D152" s="6">
        <v>1</v>
      </c>
      <c r="E152" s="2" t="str">
        <f>VLOOKUP(D152,Справочник_товары,2)</f>
        <v>Кроссовки мужские Nike Air Max</v>
      </c>
      <c r="F152" s="6">
        <v>4</v>
      </c>
      <c r="G152" s="2">
        <f>VLOOKUP(D152,Справочник_товары,4) * (1 +VLOOKUP(D152,Справочник_товары,5))</f>
        <v>12325</v>
      </c>
      <c r="H152" s="20">
        <f>F152*G152</f>
        <v>49300</v>
      </c>
    </row>
    <row r="153" spans="3:8" ht="29" x14ac:dyDescent="0.35">
      <c r="C153" s="19">
        <v>45670</v>
      </c>
      <c r="D153" s="6">
        <v>5</v>
      </c>
      <c r="E153" s="2" t="str">
        <f>VLOOKUP(D153,Справочник_товары,2)</f>
        <v>Кроссовки повседневные New Balance</v>
      </c>
      <c r="F153" s="6">
        <v>4</v>
      </c>
      <c r="G153" s="2">
        <f>VLOOKUP(D153,Справочник_товары,4) * (1 +VLOOKUP(D153,Справочник_товары,5))</f>
        <v>7425</v>
      </c>
      <c r="H153" s="20">
        <f>F153*G153</f>
        <v>29700</v>
      </c>
    </row>
    <row r="154" spans="3:8" ht="29" x14ac:dyDescent="0.35">
      <c r="C154" s="19">
        <v>45670</v>
      </c>
      <c r="D154" s="6">
        <v>5</v>
      </c>
      <c r="E154" s="2" t="str">
        <f>VLOOKUP(D154,Справочник_товары,2)</f>
        <v>Кроссовки повседневные New Balance</v>
      </c>
      <c r="F154" s="6">
        <v>9</v>
      </c>
      <c r="G154" s="2">
        <f>VLOOKUP(D154,Справочник_товары,4) * (1 +VLOOKUP(D154,Справочник_товары,5))</f>
        <v>7425</v>
      </c>
      <c r="H154" s="20">
        <f>F154*G154</f>
        <v>66825</v>
      </c>
    </row>
    <row r="155" spans="3:8" ht="29" x14ac:dyDescent="0.35">
      <c r="C155" s="19">
        <v>45670</v>
      </c>
      <c r="D155" s="6">
        <v>5</v>
      </c>
      <c r="E155" s="2" t="str">
        <f>VLOOKUP(D155,Справочник_товары,2)</f>
        <v>Кроссовки повседневные New Balance</v>
      </c>
      <c r="F155" s="6">
        <v>10</v>
      </c>
      <c r="G155" s="2">
        <f>VLOOKUP(D155,Справочник_товары,4) * (1 +VLOOKUP(D155,Справочник_товары,5))</f>
        <v>7425</v>
      </c>
      <c r="H155" s="20">
        <f>F155*G155</f>
        <v>74250</v>
      </c>
    </row>
    <row r="156" spans="3:8" ht="29" x14ac:dyDescent="0.35">
      <c r="C156" s="19">
        <v>45670</v>
      </c>
      <c r="D156" s="6">
        <v>6</v>
      </c>
      <c r="E156" s="2" t="str">
        <f>VLOOKUP(D156,Справочник_товары,2)</f>
        <v>Кроссовки треккинговые Salomon X-Hike</v>
      </c>
      <c r="F156" s="6">
        <v>3</v>
      </c>
      <c r="G156" s="2">
        <f>VLOOKUP(D156,Справочник_товары,4) * (1 +VLOOKUP(D156,Справочник_товары,5))</f>
        <v>7559.9999999999991</v>
      </c>
      <c r="H156" s="20">
        <f>F156*G156</f>
        <v>22679.999999999996</v>
      </c>
    </row>
    <row r="157" spans="3:8" ht="29" x14ac:dyDescent="0.35">
      <c r="C157" s="19">
        <v>45670</v>
      </c>
      <c r="D157" s="6">
        <v>6</v>
      </c>
      <c r="E157" s="2" t="str">
        <f>VLOOKUP(D157,Справочник_товары,2)</f>
        <v>Кроссовки треккинговые Salomon X-Hike</v>
      </c>
      <c r="F157" s="6">
        <v>10</v>
      </c>
      <c r="G157" s="2">
        <f>VLOOKUP(D157,Справочник_товары,4) * (1 +VLOOKUP(D157,Справочник_товары,5))</f>
        <v>7559.9999999999991</v>
      </c>
      <c r="H157" s="20">
        <f>F157*G157</f>
        <v>75599.999999999985</v>
      </c>
    </row>
    <row r="158" spans="3:8" ht="29" x14ac:dyDescent="0.35">
      <c r="C158" s="19">
        <v>45671</v>
      </c>
      <c r="D158" s="6">
        <v>3</v>
      </c>
      <c r="E158" s="2" t="str">
        <f>VLOOKUP(D158,Справочник_товары,2)</f>
        <v>Кросовки детские Puma Play</v>
      </c>
      <c r="F158" s="6">
        <v>2</v>
      </c>
      <c r="G158" s="2">
        <f>VLOOKUP(D158,Справочник_товары,4) * (1 +VLOOKUP(D158,Справочник_товары,5))</f>
        <v>5120</v>
      </c>
      <c r="H158" s="20">
        <f>F158*G158</f>
        <v>10240</v>
      </c>
    </row>
    <row r="159" spans="3:8" ht="29" x14ac:dyDescent="0.35">
      <c r="C159" s="19">
        <v>45671</v>
      </c>
      <c r="D159" s="6">
        <v>4</v>
      </c>
      <c r="E159" s="2" t="str">
        <f>VLOOKUP(D159,Справочник_товары,2)</f>
        <v>Кроссовки дл бега Reebok Floatride</v>
      </c>
      <c r="F159" s="6">
        <v>3</v>
      </c>
      <c r="G159" s="2">
        <f>VLOOKUP(D159,Справочник_товары,4) * (1 +VLOOKUP(D159,Справочник_товары,5))</f>
        <v>10385</v>
      </c>
      <c r="H159" s="20">
        <f>F159*G159</f>
        <v>31155</v>
      </c>
    </row>
    <row r="160" spans="3:8" ht="29" x14ac:dyDescent="0.35">
      <c r="C160" s="19">
        <v>45671</v>
      </c>
      <c r="D160" s="6">
        <v>4</v>
      </c>
      <c r="E160" s="2" t="str">
        <f>VLOOKUP(D160,Справочник_товары,2)</f>
        <v>Кроссовки дл бега Reebok Floatride</v>
      </c>
      <c r="F160" s="6">
        <v>8</v>
      </c>
      <c r="G160" s="2">
        <f>VLOOKUP(D160,Справочник_товары,4) * (1 +VLOOKUP(D160,Справочник_товары,5))</f>
        <v>10385</v>
      </c>
      <c r="H160" s="20">
        <f>F160*G160</f>
        <v>83080</v>
      </c>
    </row>
    <row r="161" spans="3:8" ht="29" x14ac:dyDescent="0.35">
      <c r="C161" s="19">
        <v>45671</v>
      </c>
      <c r="D161" s="6">
        <v>2</v>
      </c>
      <c r="E161" s="2" t="str">
        <f>VLOOKUP(D161,Справочник_товары,2)</f>
        <v>Кроссовки женские Adidas Ultraboost</v>
      </c>
      <c r="F161" s="6">
        <v>8</v>
      </c>
      <c r="G161" s="2">
        <f>VLOOKUP(D161,Справочник_товары,4) * (1 +VLOOKUP(D161,Справочник_товары,5))</f>
        <v>11700</v>
      </c>
      <c r="H161" s="20">
        <f>F161*G161</f>
        <v>93600</v>
      </c>
    </row>
    <row r="162" spans="3:8" ht="29" x14ac:dyDescent="0.35">
      <c r="C162" s="19">
        <v>45671</v>
      </c>
      <c r="D162" s="6">
        <v>2</v>
      </c>
      <c r="E162" s="2" t="str">
        <f>VLOOKUP(D162,Справочник_товары,2)</f>
        <v>Кроссовки женские Adidas Ultraboost</v>
      </c>
      <c r="F162" s="6">
        <v>8</v>
      </c>
      <c r="G162" s="2">
        <f>VLOOKUP(D162,Справочник_товары,4) * (1 +VLOOKUP(D162,Справочник_товары,5))</f>
        <v>11700</v>
      </c>
      <c r="H162" s="20">
        <f>F162*G162</f>
        <v>93600</v>
      </c>
    </row>
    <row r="163" spans="3:8" ht="29" x14ac:dyDescent="0.35">
      <c r="C163" s="19">
        <v>45671</v>
      </c>
      <c r="D163" s="6">
        <v>1</v>
      </c>
      <c r="E163" s="2" t="str">
        <f>VLOOKUP(D163,Справочник_товары,2)</f>
        <v>Кроссовки мужские Nike Air Max</v>
      </c>
      <c r="F163" s="6">
        <v>2</v>
      </c>
      <c r="G163" s="2">
        <f>VLOOKUP(D163,Справочник_товары,4) * (1 +VLOOKUP(D163,Справочник_товары,5))</f>
        <v>12325</v>
      </c>
      <c r="H163" s="20">
        <f>F163*G163</f>
        <v>24650</v>
      </c>
    </row>
    <row r="164" spans="3:8" ht="29" x14ac:dyDescent="0.35">
      <c r="C164" s="19">
        <v>45671</v>
      </c>
      <c r="D164" s="6">
        <v>1</v>
      </c>
      <c r="E164" s="2" t="str">
        <f>VLOOKUP(D164,Справочник_товары,2)</f>
        <v>Кроссовки мужские Nike Air Max</v>
      </c>
      <c r="F164" s="6">
        <v>4</v>
      </c>
      <c r="G164" s="2">
        <f>VLOOKUP(D164,Справочник_товары,4) * (1 +VLOOKUP(D164,Справочник_товары,5))</f>
        <v>12325</v>
      </c>
      <c r="H164" s="20">
        <f>F164*G164</f>
        <v>49300</v>
      </c>
    </row>
    <row r="165" spans="3:8" ht="29" x14ac:dyDescent="0.35">
      <c r="C165" s="19">
        <v>45671</v>
      </c>
      <c r="D165" s="6">
        <v>5</v>
      </c>
      <c r="E165" s="2" t="str">
        <f>VLOOKUP(D165,Справочник_товары,2)</f>
        <v>Кроссовки повседневные New Balance</v>
      </c>
      <c r="F165" s="6">
        <v>2</v>
      </c>
      <c r="G165" s="2">
        <f>VLOOKUP(D165,Справочник_товары,4) * (1 +VLOOKUP(D165,Справочник_товары,5))</f>
        <v>7425</v>
      </c>
      <c r="H165" s="20">
        <f>F165*G165</f>
        <v>14850</v>
      </c>
    </row>
    <row r="166" spans="3:8" ht="29" x14ac:dyDescent="0.35">
      <c r="C166" s="19">
        <v>45671</v>
      </c>
      <c r="D166" s="6">
        <v>5</v>
      </c>
      <c r="E166" s="2" t="str">
        <f>VLOOKUP(D166,Справочник_товары,2)</f>
        <v>Кроссовки повседневные New Balance</v>
      </c>
      <c r="F166" s="6">
        <v>7</v>
      </c>
      <c r="G166" s="2">
        <f>VLOOKUP(D166,Справочник_товары,4) * (1 +VLOOKUP(D166,Справочник_товары,5))</f>
        <v>7425</v>
      </c>
      <c r="H166" s="20">
        <f>F166*G166</f>
        <v>51975</v>
      </c>
    </row>
    <row r="167" spans="3:8" ht="29" x14ac:dyDescent="0.35">
      <c r="C167" s="19">
        <v>45671</v>
      </c>
      <c r="D167" s="6">
        <v>6</v>
      </c>
      <c r="E167" s="2" t="str">
        <f>VLOOKUP(D167,Справочник_товары,2)</f>
        <v>Кроссовки треккинговые Salomon X-Hike</v>
      </c>
      <c r="F167" s="6">
        <v>4</v>
      </c>
      <c r="G167" s="2">
        <f>VLOOKUP(D167,Справочник_товары,4) * (1 +VLOOKUP(D167,Справочник_товары,5))</f>
        <v>7559.9999999999991</v>
      </c>
      <c r="H167" s="20">
        <f>F167*G167</f>
        <v>30239.999999999996</v>
      </c>
    </row>
    <row r="168" spans="3:8" ht="29" x14ac:dyDescent="0.35">
      <c r="C168" s="19">
        <v>45672</v>
      </c>
      <c r="D168" s="6">
        <v>4</v>
      </c>
      <c r="E168" s="2" t="str">
        <f>VLOOKUP(D168,Справочник_товары,2)</f>
        <v>Кроссовки дл бега Reebok Floatride</v>
      </c>
      <c r="F168" s="6">
        <v>10</v>
      </c>
      <c r="G168" s="2">
        <f>VLOOKUP(D168,Справочник_товары,4) * (1 +VLOOKUP(D168,Справочник_товары,5))</f>
        <v>10385</v>
      </c>
      <c r="H168" s="20">
        <f>F168*G168</f>
        <v>103850</v>
      </c>
    </row>
    <row r="169" spans="3:8" ht="29" x14ac:dyDescent="0.35">
      <c r="C169" s="19">
        <v>45672</v>
      </c>
      <c r="D169" s="6">
        <v>2</v>
      </c>
      <c r="E169" s="2" t="str">
        <f>VLOOKUP(D169,Справочник_товары,2)</f>
        <v>Кроссовки женские Adidas Ultraboost</v>
      </c>
      <c r="F169" s="6">
        <v>9</v>
      </c>
      <c r="G169" s="2">
        <f>VLOOKUP(D169,Справочник_товары,4) * (1 +VLOOKUP(D169,Справочник_товары,5))</f>
        <v>11700</v>
      </c>
      <c r="H169" s="20">
        <f>F169*G169</f>
        <v>105300</v>
      </c>
    </row>
    <row r="170" spans="3:8" ht="29" x14ac:dyDescent="0.35">
      <c r="C170" s="19">
        <v>45672</v>
      </c>
      <c r="D170" s="6">
        <v>1</v>
      </c>
      <c r="E170" s="2" t="str">
        <f>VLOOKUP(D170,Справочник_товары,2)</f>
        <v>Кроссовки мужские Nike Air Max</v>
      </c>
      <c r="F170" s="6">
        <v>7</v>
      </c>
      <c r="G170" s="2">
        <f>VLOOKUP(D170,Справочник_товары,4) * (1 +VLOOKUP(D170,Справочник_товары,5))</f>
        <v>12325</v>
      </c>
      <c r="H170" s="20">
        <f>F170*G170</f>
        <v>86275</v>
      </c>
    </row>
    <row r="171" spans="3:8" ht="29" x14ac:dyDescent="0.35">
      <c r="C171" s="19">
        <v>45672</v>
      </c>
      <c r="D171" s="6">
        <v>5</v>
      </c>
      <c r="E171" s="2" t="str">
        <f>VLOOKUP(D171,Справочник_товары,2)</f>
        <v>Кроссовки повседневные New Balance</v>
      </c>
      <c r="F171" s="6">
        <v>3</v>
      </c>
      <c r="G171" s="2">
        <f>VLOOKUP(D171,Справочник_товары,4) * (1 +VLOOKUP(D171,Справочник_товары,5))</f>
        <v>7425</v>
      </c>
      <c r="H171" s="20">
        <f>F171*G171</f>
        <v>22275</v>
      </c>
    </row>
    <row r="172" spans="3:8" ht="29" x14ac:dyDescent="0.35">
      <c r="C172" s="19">
        <v>45673</v>
      </c>
      <c r="D172" s="6">
        <v>3</v>
      </c>
      <c r="E172" s="2" t="str">
        <f>VLOOKUP(D172,Справочник_товары,2)</f>
        <v>Кросовки детские Puma Play</v>
      </c>
      <c r="F172" s="6">
        <v>1</v>
      </c>
      <c r="G172" s="2">
        <f>VLOOKUP(D172,Справочник_товары,4) * (1 +VLOOKUP(D172,Справочник_товары,5))</f>
        <v>5120</v>
      </c>
      <c r="H172" s="20">
        <f>F172*G172</f>
        <v>5120</v>
      </c>
    </row>
    <row r="173" spans="3:8" ht="29" x14ac:dyDescent="0.35">
      <c r="C173" s="19">
        <v>45673</v>
      </c>
      <c r="D173" s="6">
        <v>4</v>
      </c>
      <c r="E173" s="2" t="str">
        <f>VLOOKUP(D173,Справочник_товары,2)</f>
        <v>Кроссовки дл бега Reebok Floatride</v>
      </c>
      <c r="F173" s="6">
        <v>6</v>
      </c>
      <c r="G173" s="2">
        <f>VLOOKUP(D173,Справочник_товары,4) * (1 +VLOOKUP(D173,Справочник_товары,5))</f>
        <v>10385</v>
      </c>
      <c r="H173" s="20">
        <f>F173*G173</f>
        <v>62310</v>
      </c>
    </row>
    <row r="174" spans="3:8" ht="29" x14ac:dyDescent="0.35">
      <c r="C174" s="19">
        <v>45673</v>
      </c>
      <c r="D174" s="6">
        <v>4</v>
      </c>
      <c r="E174" s="2" t="str">
        <f>VLOOKUP(D174,Справочник_товары,2)</f>
        <v>Кроссовки дл бега Reebok Floatride</v>
      </c>
      <c r="F174" s="6">
        <v>6</v>
      </c>
      <c r="G174" s="2">
        <f>VLOOKUP(D174,Справочник_товары,4) * (1 +VLOOKUP(D174,Справочник_товары,5))</f>
        <v>10385</v>
      </c>
      <c r="H174" s="20">
        <f>F174*G174</f>
        <v>62310</v>
      </c>
    </row>
    <row r="175" spans="3:8" ht="29" x14ac:dyDescent="0.35">
      <c r="C175" s="19">
        <v>45673</v>
      </c>
      <c r="D175" s="6">
        <v>2</v>
      </c>
      <c r="E175" s="2" t="str">
        <f>VLOOKUP(D175,Справочник_товары,2)</f>
        <v>Кроссовки женские Adidas Ultraboost</v>
      </c>
      <c r="F175" s="6">
        <v>3</v>
      </c>
      <c r="G175" s="2">
        <f>VLOOKUP(D175,Справочник_товары,4) * (1 +VLOOKUP(D175,Справочник_товары,5))</f>
        <v>11700</v>
      </c>
      <c r="H175" s="20">
        <f>F175*G175</f>
        <v>35100</v>
      </c>
    </row>
    <row r="176" spans="3:8" ht="29" x14ac:dyDescent="0.35">
      <c r="C176" s="19">
        <v>45673</v>
      </c>
      <c r="D176" s="6">
        <v>2</v>
      </c>
      <c r="E176" s="2" t="str">
        <f>VLOOKUP(D176,Справочник_товары,2)</f>
        <v>Кроссовки женские Adidas Ultraboost</v>
      </c>
      <c r="F176" s="6">
        <v>5</v>
      </c>
      <c r="G176" s="2">
        <f>VLOOKUP(D176,Справочник_товары,4) * (1 +VLOOKUP(D176,Справочник_товары,5))</f>
        <v>11700</v>
      </c>
      <c r="H176" s="20">
        <f>F176*G176</f>
        <v>58500</v>
      </c>
    </row>
    <row r="177" spans="3:8" ht="29" x14ac:dyDescent="0.35">
      <c r="C177" s="19">
        <v>45673</v>
      </c>
      <c r="D177" s="6">
        <v>2</v>
      </c>
      <c r="E177" s="2" t="str">
        <f>VLOOKUP(D177,Справочник_товары,2)</f>
        <v>Кроссовки женские Adidas Ultraboost</v>
      </c>
      <c r="F177" s="6">
        <v>8</v>
      </c>
      <c r="G177" s="2">
        <f>VLOOKUP(D177,Справочник_товары,4) * (1 +VLOOKUP(D177,Справочник_товары,5))</f>
        <v>11700</v>
      </c>
      <c r="H177" s="20">
        <f>F177*G177</f>
        <v>93600</v>
      </c>
    </row>
    <row r="178" spans="3:8" ht="29" x14ac:dyDescent="0.35">
      <c r="C178" s="19">
        <v>45673</v>
      </c>
      <c r="D178" s="6">
        <v>2</v>
      </c>
      <c r="E178" s="2" t="str">
        <f>VLOOKUP(D178,Справочник_товары,2)</f>
        <v>Кроссовки женские Adidas Ultraboost</v>
      </c>
      <c r="F178" s="6">
        <v>10</v>
      </c>
      <c r="G178" s="2">
        <f>VLOOKUP(D178,Справочник_товары,4) * (1 +VLOOKUP(D178,Справочник_товары,5))</f>
        <v>11700</v>
      </c>
      <c r="H178" s="20">
        <f>F178*G178</f>
        <v>117000</v>
      </c>
    </row>
    <row r="179" spans="3:8" ht="29" x14ac:dyDescent="0.35">
      <c r="C179" s="19">
        <v>45673</v>
      </c>
      <c r="D179" s="6">
        <v>1</v>
      </c>
      <c r="E179" s="2" t="str">
        <f>VLOOKUP(D179,Справочник_товары,2)</f>
        <v>Кроссовки мужские Nike Air Max</v>
      </c>
      <c r="F179" s="6">
        <v>9</v>
      </c>
      <c r="G179" s="2">
        <f>VLOOKUP(D179,Справочник_товары,4) * (1 +VLOOKUP(D179,Справочник_товары,5))</f>
        <v>12325</v>
      </c>
      <c r="H179" s="20">
        <f>F179*G179</f>
        <v>110925</v>
      </c>
    </row>
    <row r="180" spans="3:8" ht="29" x14ac:dyDescent="0.35">
      <c r="C180" s="19">
        <v>45673</v>
      </c>
      <c r="D180" s="6">
        <v>5</v>
      </c>
      <c r="E180" s="2" t="str">
        <f>VLOOKUP(D180,Справочник_товары,2)</f>
        <v>Кроссовки повседневные New Balance</v>
      </c>
      <c r="F180" s="6">
        <v>1</v>
      </c>
      <c r="G180" s="2">
        <f>VLOOKUP(D180,Справочник_товары,4) * (1 +VLOOKUP(D180,Справочник_товары,5))</f>
        <v>7425</v>
      </c>
      <c r="H180" s="20">
        <f>F180*G180</f>
        <v>7425</v>
      </c>
    </row>
    <row r="181" spans="3:8" ht="29" x14ac:dyDescent="0.35">
      <c r="C181" s="19">
        <v>45673</v>
      </c>
      <c r="D181" s="6">
        <v>5</v>
      </c>
      <c r="E181" s="2" t="str">
        <f>VLOOKUP(D181,Справочник_товары,2)</f>
        <v>Кроссовки повседневные New Balance</v>
      </c>
      <c r="F181" s="6">
        <v>5</v>
      </c>
      <c r="G181" s="2">
        <f>VLOOKUP(D181,Справочник_товары,4) * (1 +VLOOKUP(D181,Справочник_товары,5))</f>
        <v>7425</v>
      </c>
      <c r="H181" s="20">
        <f>F181*G181</f>
        <v>37125</v>
      </c>
    </row>
    <row r="182" spans="3:8" ht="29" x14ac:dyDescent="0.35">
      <c r="C182" s="19">
        <v>45673</v>
      </c>
      <c r="D182" s="6">
        <v>5</v>
      </c>
      <c r="E182" s="2" t="str">
        <f>VLOOKUP(D182,Справочник_товары,2)</f>
        <v>Кроссовки повседневные New Balance</v>
      </c>
      <c r="F182" s="6">
        <v>5</v>
      </c>
      <c r="G182" s="2">
        <f>VLOOKUP(D182,Справочник_товары,4) * (1 +VLOOKUP(D182,Справочник_товары,5))</f>
        <v>7425</v>
      </c>
      <c r="H182" s="20">
        <f>F182*G182</f>
        <v>37125</v>
      </c>
    </row>
    <row r="183" spans="3:8" ht="29" x14ac:dyDescent="0.35">
      <c r="C183" s="19">
        <v>45673</v>
      </c>
      <c r="D183" s="6">
        <v>5</v>
      </c>
      <c r="E183" s="2" t="str">
        <f>VLOOKUP(D183,Справочник_товары,2)</f>
        <v>Кроссовки повседневные New Balance</v>
      </c>
      <c r="F183" s="6">
        <v>8</v>
      </c>
      <c r="G183" s="2">
        <f>VLOOKUP(D183,Справочник_товары,4) * (1 +VLOOKUP(D183,Справочник_товары,5))</f>
        <v>7425</v>
      </c>
      <c r="H183" s="20">
        <f>F183*G183</f>
        <v>59400</v>
      </c>
    </row>
    <row r="184" spans="3:8" ht="29" x14ac:dyDescent="0.35">
      <c r="C184" s="19">
        <v>45674</v>
      </c>
      <c r="D184" s="6">
        <v>3</v>
      </c>
      <c r="E184" s="2" t="str">
        <f>VLOOKUP(D184,Справочник_товары,2)</f>
        <v>Кросовки детские Puma Play</v>
      </c>
      <c r="F184" s="6">
        <v>4</v>
      </c>
      <c r="G184" s="2">
        <f>VLOOKUP(D184,Справочник_товары,4) * (1 +VLOOKUP(D184,Справочник_товары,5))</f>
        <v>5120</v>
      </c>
      <c r="H184" s="20">
        <f>F184*G184</f>
        <v>20480</v>
      </c>
    </row>
    <row r="185" spans="3:8" ht="29" x14ac:dyDescent="0.35">
      <c r="C185" s="19">
        <v>45674</v>
      </c>
      <c r="D185" s="6">
        <v>4</v>
      </c>
      <c r="E185" s="2" t="str">
        <f>VLOOKUP(D185,Справочник_товары,2)</f>
        <v>Кроссовки дл бега Reebok Floatride</v>
      </c>
      <c r="F185" s="6">
        <v>1</v>
      </c>
      <c r="G185" s="2">
        <f>VLOOKUP(D185,Справочник_товары,4) * (1 +VLOOKUP(D185,Справочник_товары,5))</f>
        <v>10385</v>
      </c>
      <c r="H185" s="20">
        <f>F185*G185</f>
        <v>10385</v>
      </c>
    </row>
    <row r="186" spans="3:8" ht="29" x14ac:dyDescent="0.35">
      <c r="C186" s="19">
        <v>45674</v>
      </c>
      <c r="D186" s="6">
        <v>1</v>
      </c>
      <c r="E186" s="2" t="str">
        <f>VLOOKUP(D186,Справочник_товары,2)</f>
        <v>Кроссовки мужские Nike Air Max</v>
      </c>
      <c r="F186" s="6">
        <v>4</v>
      </c>
      <c r="G186" s="2">
        <f>VLOOKUP(D186,Справочник_товары,4) * (1 +VLOOKUP(D186,Справочник_товары,5))</f>
        <v>12325</v>
      </c>
      <c r="H186" s="20">
        <f>F186*G186</f>
        <v>49300</v>
      </c>
    </row>
    <row r="187" spans="3:8" ht="29" x14ac:dyDescent="0.35">
      <c r="C187" s="19">
        <v>45674</v>
      </c>
      <c r="D187" s="6">
        <v>1</v>
      </c>
      <c r="E187" s="2" t="str">
        <f>VLOOKUP(D187,Справочник_товары,2)</f>
        <v>Кроссовки мужские Nike Air Max</v>
      </c>
      <c r="F187" s="6">
        <v>8</v>
      </c>
      <c r="G187" s="2">
        <f>VLOOKUP(D187,Справочник_товары,4) * (1 +VLOOKUP(D187,Справочник_товары,5))</f>
        <v>12325</v>
      </c>
      <c r="H187" s="20">
        <f>F187*G187</f>
        <v>98600</v>
      </c>
    </row>
    <row r="188" spans="3:8" ht="29" x14ac:dyDescent="0.35">
      <c r="C188" s="19">
        <v>45674</v>
      </c>
      <c r="D188" s="6">
        <v>5</v>
      </c>
      <c r="E188" s="2" t="str">
        <f>VLOOKUP(D188,Справочник_товары,2)</f>
        <v>Кроссовки повседневные New Balance</v>
      </c>
      <c r="F188" s="6">
        <v>4</v>
      </c>
      <c r="G188" s="2">
        <f>VLOOKUP(D188,Справочник_товары,4) * (1 +VLOOKUP(D188,Справочник_товары,5))</f>
        <v>7425</v>
      </c>
      <c r="H188" s="20">
        <f>F188*G188</f>
        <v>29700</v>
      </c>
    </row>
    <row r="189" spans="3:8" ht="29" x14ac:dyDescent="0.35">
      <c r="C189" s="19">
        <v>45674</v>
      </c>
      <c r="D189" s="6">
        <v>6</v>
      </c>
      <c r="E189" s="2" t="str">
        <f>VLOOKUP(D189,Справочник_товары,2)</f>
        <v>Кроссовки треккинговые Salomon X-Hike</v>
      </c>
      <c r="F189" s="6">
        <v>1</v>
      </c>
      <c r="G189" s="2">
        <f>VLOOKUP(D189,Справочник_товары,4) * (1 +VLOOKUP(D189,Справочник_товары,5))</f>
        <v>7559.9999999999991</v>
      </c>
      <c r="H189" s="20">
        <f>F189*G189</f>
        <v>7559.9999999999991</v>
      </c>
    </row>
    <row r="190" spans="3:8" ht="29" x14ac:dyDescent="0.35">
      <c r="C190" s="19">
        <v>45675</v>
      </c>
      <c r="D190" s="6">
        <v>3</v>
      </c>
      <c r="E190" s="2" t="str">
        <f>VLOOKUP(D190,Справочник_товары,2)</f>
        <v>Кросовки детские Puma Play</v>
      </c>
      <c r="F190" s="6">
        <v>1</v>
      </c>
      <c r="G190" s="2">
        <f>VLOOKUP(D190,Справочник_товары,4) * (1 +VLOOKUP(D190,Справочник_товары,5))</f>
        <v>5120</v>
      </c>
      <c r="H190" s="20">
        <f>F190*G190</f>
        <v>5120</v>
      </c>
    </row>
    <row r="191" spans="3:8" ht="29" x14ac:dyDescent="0.35">
      <c r="C191" s="19">
        <v>45675</v>
      </c>
      <c r="D191" s="6">
        <v>2</v>
      </c>
      <c r="E191" s="2" t="str">
        <f>VLOOKUP(D191,Справочник_товары,2)</f>
        <v>Кроссовки женские Adidas Ultraboost</v>
      </c>
      <c r="F191" s="6">
        <v>1</v>
      </c>
      <c r="G191" s="2">
        <f>VLOOKUP(D191,Справочник_товары,4) * (1 +VLOOKUP(D191,Справочник_товары,5))</f>
        <v>11700</v>
      </c>
      <c r="H191" s="20">
        <f>F191*G191</f>
        <v>11700</v>
      </c>
    </row>
    <row r="192" spans="3:8" ht="29" x14ac:dyDescent="0.35">
      <c r="C192" s="19">
        <v>45675</v>
      </c>
      <c r="D192" s="6">
        <v>2</v>
      </c>
      <c r="E192" s="2" t="str">
        <f>VLOOKUP(D192,Справочник_товары,2)</f>
        <v>Кроссовки женские Adidas Ultraboost</v>
      </c>
      <c r="F192" s="6">
        <v>7</v>
      </c>
      <c r="G192" s="2">
        <f>VLOOKUP(D192,Справочник_товары,4) * (1 +VLOOKUP(D192,Справочник_товары,5))</f>
        <v>11700</v>
      </c>
      <c r="H192" s="20">
        <f>F192*G192</f>
        <v>81900</v>
      </c>
    </row>
    <row r="193" spans="3:8" ht="29" x14ac:dyDescent="0.35">
      <c r="C193" s="19">
        <v>45675</v>
      </c>
      <c r="D193" s="6">
        <v>1</v>
      </c>
      <c r="E193" s="2" t="str">
        <f>VLOOKUP(D193,Справочник_товары,2)</f>
        <v>Кроссовки мужские Nike Air Max</v>
      </c>
      <c r="F193" s="6">
        <v>4</v>
      </c>
      <c r="G193" s="2">
        <f>VLOOKUP(D193,Справочник_товары,4) * (1 +VLOOKUP(D193,Справочник_товары,5))</f>
        <v>12325</v>
      </c>
      <c r="H193" s="20">
        <f>F193*G193</f>
        <v>49300</v>
      </c>
    </row>
    <row r="194" spans="3:8" ht="29" x14ac:dyDescent="0.35">
      <c r="C194" s="19">
        <v>45675</v>
      </c>
      <c r="D194" s="6">
        <v>1</v>
      </c>
      <c r="E194" s="2" t="str">
        <f>VLOOKUP(D194,Справочник_товары,2)</f>
        <v>Кроссовки мужские Nike Air Max</v>
      </c>
      <c r="F194" s="6">
        <v>8</v>
      </c>
      <c r="G194" s="2">
        <f>VLOOKUP(D194,Справочник_товары,4) * (1 +VLOOKUP(D194,Справочник_товары,5))</f>
        <v>12325</v>
      </c>
      <c r="H194" s="20">
        <f>F194*G194</f>
        <v>98600</v>
      </c>
    </row>
    <row r="195" spans="3:8" ht="29" x14ac:dyDescent="0.35">
      <c r="C195" s="19">
        <v>45675</v>
      </c>
      <c r="D195" s="6">
        <v>5</v>
      </c>
      <c r="E195" s="2" t="str">
        <f>VLOOKUP(D195,Справочник_товары,2)</f>
        <v>Кроссовки повседневные New Balance</v>
      </c>
      <c r="F195" s="6">
        <v>1</v>
      </c>
      <c r="G195" s="2">
        <f>VLOOKUP(D195,Справочник_товары,4) * (1 +VLOOKUP(D195,Справочник_товары,5))</f>
        <v>7425</v>
      </c>
      <c r="H195" s="20">
        <f>F195*G195</f>
        <v>7425</v>
      </c>
    </row>
    <row r="196" spans="3:8" ht="29" x14ac:dyDescent="0.35">
      <c r="C196" s="19">
        <v>45675</v>
      </c>
      <c r="D196" s="6">
        <v>5</v>
      </c>
      <c r="E196" s="2" t="str">
        <f>VLOOKUP(D196,Справочник_товары,2)</f>
        <v>Кроссовки повседневные New Balance</v>
      </c>
      <c r="F196" s="6">
        <v>2</v>
      </c>
      <c r="G196" s="2">
        <f>VLOOKUP(D196,Справочник_товары,4) * (1 +VLOOKUP(D196,Справочник_товары,5))</f>
        <v>7425</v>
      </c>
      <c r="H196" s="20">
        <f>F196*G196</f>
        <v>14850</v>
      </c>
    </row>
    <row r="197" spans="3:8" ht="29" x14ac:dyDescent="0.35">
      <c r="C197" s="19">
        <v>45675</v>
      </c>
      <c r="D197" s="6">
        <v>6</v>
      </c>
      <c r="E197" s="2" t="str">
        <f>VLOOKUP(D197,Справочник_товары,2)</f>
        <v>Кроссовки треккинговые Salomon X-Hike</v>
      </c>
      <c r="F197" s="6">
        <v>1</v>
      </c>
      <c r="G197" s="2">
        <f>VLOOKUP(D197,Справочник_товары,4) * (1 +VLOOKUP(D197,Справочник_товары,5))</f>
        <v>7559.9999999999991</v>
      </c>
      <c r="H197" s="20">
        <f>F197*G197</f>
        <v>7559.9999999999991</v>
      </c>
    </row>
    <row r="198" spans="3:8" ht="29" x14ac:dyDescent="0.35">
      <c r="C198" s="19">
        <v>45675</v>
      </c>
      <c r="D198" s="6">
        <v>6</v>
      </c>
      <c r="E198" s="2" t="str">
        <f>VLOOKUP(D198,Справочник_товары,2)</f>
        <v>Кроссовки треккинговые Salomon X-Hike</v>
      </c>
      <c r="F198" s="6">
        <v>9</v>
      </c>
      <c r="G198" s="2">
        <f>VLOOKUP(D198,Справочник_товары,4) * (1 +VLOOKUP(D198,Справочник_товары,5))</f>
        <v>7559.9999999999991</v>
      </c>
      <c r="H198" s="20">
        <f>F198*G198</f>
        <v>68039.999999999985</v>
      </c>
    </row>
    <row r="199" spans="3:8" ht="29" x14ac:dyDescent="0.35">
      <c r="C199" s="19">
        <v>45675</v>
      </c>
      <c r="D199" s="6">
        <v>6</v>
      </c>
      <c r="E199" s="2" t="str">
        <f>VLOOKUP(D199,Справочник_товары,2)</f>
        <v>Кроссовки треккинговые Salomon X-Hike</v>
      </c>
      <c r="F199" s="6">
        <v>10</v>
      </c>
      <c r="G199" s="2">
        <f>VLOOKUP(D199,Справочник_товары,4) * (1 +VLOOKUP(D199,Справочник_товары,5))</f>
        <v>7559.9999999999991</v>
      </c>
      <c r="H199" s="20">
        <f>F199*G199</f>
        <v>75599.999999999985</v>
      </c>
    </row>
    <row r="200" spans="3:8" ht="29" x14ac:dyDescent="0.35">
      <c r="C200" s="19">
        <v>45676</v>
      </c>
      <c r="D200" s="6">
        <v>3</v>
      </c>
      <c r="E200" s="2" t="str">
        <f>VLOOKUP(D200,Справочник_товары,2)</f>
        <v>Кросовки детские Puma Play</v>
      </c>
      <c r="F200" s="6">
        <v>6</v>
      </c>
      <c r="G200" s="2">
        <f>VLOOKUP(D200,Справочник_товары,4) * (1 +VLOOKUP(D200,Справочник_товары,5))</f>
        <v>5120</v>
      </c>
      <c r="H200" s="20">
        <f>F200*G200</f>
        <v>30720</v>
      </c>
    </row>
    <row r="201" spans="3:8" ht="29" x14ac:dyDescent="0.35">
      <c r="C201" s="19">
        <v>45676</v>
      </c>
      <c r="D201" s="6">
        <v>3</v>
      </c>
      <c r="E201" s="2" t="str">
        <f>VLOOKUP(D201,Справочник_товары,2)</f>
        <v>Кросовки детские Puma Play</v>
      </c>
      <c r="F201" s="6">
        <v>8</v>
      </c>
      <c r="G201" s="2">
        <f>VLOOKUP(D201,Справочник_товары,4) * (1 +VLOOKUP(D201,Справочник_товары,5))</f>
        <v>5120</v>
      </c>
      <c r="H201" s="20">
        <f>F201*G201</f>
        <v>40960</v>
      </c>
    </row>
    <row r="202" spans="3:8" ht="29" x14ac:dyDescent="0.35">
      <c r="C202" s="19">
        <v>45676</v>
      </c>
      <c r="D202" s="6">
        <v>4</v>
      </c>
      <c r="E202" s="2" t="str">
        <f>VLOOKUP(D202,Справочник_товары,2)</f>
        <v>Кроссовки дл бега Reebok Floatride</v>
      </c>
      <c r="F202" s="6">
        <v>7</v>
      </c>
      <c r="G202" s="2">
        <f>VLOOKUP(D202,Справочник_товары,4) * (1 +VLOOKUP(D202,Справочник_товары,5))</f>
        <v>10385</v>
      </c>
      <c r="H202" s="20">
        <f>F202*G202</f>
        <v>72695</v>
      </c>
    </row>
    <row r="203" spans="3:8" ht="29" x14ac:dyDescent="0.35">
      <c r="C203" s="19">
        <v>45676</v>
      </c>
      <c r="D203" s="6">
        <v>4</v>
      </c>
      <c r="E203" s="2" t="str">
        <f>VLOOKUP(D203,Справочник_товары,2)</f>
        <v>Кроссовки дл бега Reebok Floatride</v>
      </c>
      <c r="F203" s="6">
        <v>10</v>
      </c>
      <c r="G203" s="2">
        <f>VLOOKUP(D203,Справочник_товары,4) * (1 +VLOOKUP(D203,Справочник_товары,5))</f>
        <v>10385</v>
      </c>
      <c r="H203" s="20">
        <f>F203*G203</f>
        <v>103850</v>
      </c>
    </row>
    <row r="204" spans="3:8" ht="29" x14ac:dyDescent="0.35">
      <c r="C204" s="19">
        <v>45676</v>
      </c>
      <c r="D204" s="6">
        <v>2</v>
      </c>
      <c r="E204" s="2" t="str">
        <f>VLOOKUP(D204,Справочник_товары,2)</f>
        <v>Кроссовки женские Adidas Ultraboost</v>
      </c>
      <c r="F204" s="6">
        <v>8</v>
      </c>
      <c r="G204" s="2">
        <f>VLOOKUP(D204,Справочник_товары,4) * (1 +VLOOKUP(D204,Справочник_товары,5))</f>
        <v>11700</v>
      </c>
      <c r="H204" s="20">
        <f>F204*G204</f>
        <v>93600</v>
      </c>
    </row>
    <row r="205" spans="3:8" ht="29" x14ac:dyDescent="0.35">
      <c r="C205" s="19">
        <v>45676</v>
      </c>
      <c r="D205" s="6">
        <v>2</v>
      </c>
      <c r="E205" s="2" t="str">
        <f>VLOOKUP(D205,Справочник_товары,2)</f>
        <v>Кроссовки женские Adidas Ultraboost</v>
      </c>
      <c r="F205" s="6">
        <v>9</v>
      </c>
      <c r="G205" s="2">
        <f>VLOOKUP(D205,Справочник_товары,4) * (1 +VLOOKUP(D205,Справочник_товары,5))</f>
        <v>11700</v>
      </c>
      <c r="H205" s="20">
        <f>F205*G205</f>
        <v>105300</v>
      </c>
    </row>
    <row r="206" spans="3:8" ht="29" x14ac:dyDescent="0.35">
      <c r="C206" s="19">
        <v>45676</v>
      </c>
      <c r="D206" s="6">
        <v>1</v>
      </c>
      <c r="E206" s="2" t="str">
        <f>VLOOKUP(D206,Справочник_товары,2)</f>
        <v>Кроссовки мужские Nike Air Max</v>
      </c>
      <c r="F206" s="6">
        <v>8</v>
      </c>
      <c r="G206" s="2">
        <f>VLOOKUP(D206,Справочник_товары,4) * (1 +VLOOKUP(D206,Справочник_товары,5))</f>
        <v>12325</v>
      </c>
      <c r="H206" s="20">
        <f>F206*G206</f>
        <v>98600</v>
      </c>
    </row>
    <row r="207" spans="3:8" ht="29" x14ac:dyDescent="0.35">
      <c r="C207" s="19">
        <v>45676</v>
      </c>
      <c r="D207" s="6">
        <v>5</v>
      </c>
      <c r="E207" s="2" t="str">
        <f>VLOOKUP(D207,Справочник_товары,2)</f>
        <v>Кроссовки повседневные New Balance</v>
      </c>
      <c r="F207" s="6">
        <v>1</v>
      </c>
      <c r="G207" s="2">
        <f>VLOOKUP(D207,Справочник_товары,4) * (1 +VLOOKUP(D207,Справочник_товары,5))</f>
        <v>7425</v>
      </c>
      <c r="H207" s="20">
        <f>F207*G207</f>
        <v>7425</v>
      </c>
    </row>
    <row r="208" spans="3:8" ht="29" x14ac:dyDescent="0.35">
      <c r="C208" s="19">
        <v>45676</v>
      </c>
      <c r="D208" s="6">
        <v>5</v>
      </c>
      <c r="E208" s="2" t="str">
        <f>VLOOKUP(D208,Справочник_товары,2)</f>
        <v>Кроссовки повседневные New Balance</v>
      </c>
      <c r="F208" s="6">
        <v>4</v>
      </c>
      <c r="G208" s="2">
        <f>VLOOKUP(D208,Справочник_товары,4) * (1 +VLOOKUP(D208,Справочник_товары,5))</f>
        <v>7425</v>
      </c>
      <c r="H208" s="20">
        <f>F208*G208</f>
        <v>29700</v>
      </c>
    </row>
    <row r="209" spans="3:8" ht="29" x14ac:dyDescent="0.35">
      <c r="C209" s="19">
        <v>45676</v>
      </c>
      <c r="D209" s="6">
        <v>6</v>
      </c>
      <c r="E209" s="2" t="str">
        <f>VLOOKUP(D209,Справочник_товары,2)</f>
        <v>Кроссовки треккинговые Salomon X-Hike</v>
      </c>
      <c r="F209" s="6">
        <v>4</v>
      </c>
      <c r="G209" s="2">
        <f>VLOOKUP(D209,Справочник_товары,4) * (1 +VLOOKUP(D209,Справочник_товары,5))</f>
        <v>7559.9999999999991</v>
      </c>
      <c r="H209" s="20">
        <f>F209*G209</f>
        <v>30239.999999999996</v>
      </c>
    </row>
    <row r="210" spans="3:8" ht="29" x14ac:dyDescent="0.35">
      <c r="C210" s="19">
        <v>45677</v>
      </c>
      <c r="D210" s="6">
        <v>3</v>
      </c>
      <c r="E210" s="2" t="str">
        <f>VLOOKUP(D210,Справочник_товары,2)</f>
        <v>Кросовки детские Puma Play</v>
      </c>
      <c r="F210" s="6">
        <v>5</v>
      </c>
      <c r="G210" s="2">
        <f>VLOOKUP(D210,Справочник_товары,4) * (1 +VLOOKUP(D210,Справочник_товары,5))</f>
        <v>5120</v>
      </c>
      <c r="H210" s="20">
        <f>F210*G210</f>
        <v>25600</v>
      </c>
    </row>
    <row r="211" spans="3:8" ht="29" x14ac:dyDescent="0.35">
      <c r="C211" s="19">
        <v>45677</v>
      </c>
      <c r="D211" s="6">
        <v>3</v>
      </c>
      <c r="E211" s="2" t="str">
        <f>VLOOKUP(D211,Справочник_товары,2)</f>
        <v>Кросовки детские Puma Play</v>
      </c>
      <c r="F211" s="6">
        <v>10</v>
      </c>
      <c r="G211" s="2">
        <f>VLOOKUP(D211,Справочник_товары,4) * (1 +VLOOKUP(D211,Справочник_товары,5))</f>
        <v>5120</v>
      </c>
      <c r="H211" s="20">
        <f>F211*G211</f>
        <v>51200</v>
      </c>
    </row>
    <row r="212" spans="3:8" ht="29" x14ac:dyDescent="0.35">
      <c r="C212" s="19">
        <v>45677</v>
      </c>
      <c r="D212" s="6">
        <v>4</v>
      </c>
      <c r="E212" s="2" t="str">
        <f>VLOOKUP(D212,Справочник_товары,2)</f>
        <v>Кроссовки дл бега Reebok Floatride</v>
      </c>
      <c r="F212" s="6">
        <v>6</v>
      </c>
      <c r="G212" s="2">
        <f>VLOOKUP(D212,Справочник_товары,4) * (1 +VLOOKUP(D212,Справочник_товары,5))</f>
        <v>10385</v>
      </c>
      <c r="H212" s="20">
        <f>F212*G212</f>
        <v>62310</v>
      </c>
    </row>
    <row r="213" spans="3:8" ht="29" x14ac:dyDescent="0.35">
      <c r="C213" s="19">
        <v>45677</v>
      </c>
      <c r="D213" s="6">
        <v>4</v>
      </c>
      <c r="E213" s="2" t="str">
        <f>VLOOKUP(D213,Справочник_товары,2)</f>
        <v>Кроссовки дл бега Reebok Floatride</v>
      </c>
      <c r="F213" s="6">
        <v>8</v>
      </c>
      <c r="G213" s="2">
        <f>VLOOKUP(D213,Справочник_товары,4) * (1 +VLOOKUP(D213,Справочник_товары,5))</f>
        <v>10385</v>
      </c>
      <c r="H213" s="20">
        <f>F213*G213</f>
        <v>83080</v>
      </c>
    </row>
    <row r="214" spans="3:8" ht="29" x14ac:dyDescent="0.35">
      <c r="C214" s="19">
        <v>45677</v>
      </c>
      <c r="D214" s="6">
        <v>2</v>
      </c>
      <c r="E214" s="2" t="str">
        <f>VLOOKUP(D214,Справочник_товары,2)</f>
        <v>Кроссовки женские Adidas Ultraboost</v>
      </c>
      <c r="F214" s="6">
        <v>1</v>
      </c>
      <c r="G214" s="2">
        <f>VLOOKUP(D214,Справочник_товары,4) * (1 +VLOOKUP(D214,Справочник_товары,5))</f>
        <v>11700</v>
      </c>
      <c r="H214" s="20">
        <f>F214*G214</f>
        <v>11700</v>
      </c>
    </row>
    <row r="215" spans="3:8" ht="29" x14ac:dyDescent="0.35">
      <c r="C215" s="19">
        <v>45677</v>
      </c>
      <c r="D215" s="6">
        <v>2</v>
      </c>
      <c r="E215" s="2" t="str">
        <f>VLOOKUP(D215,Справочник_товары,2)</f>
        <v>Кроссовки женские Adidas Ultraboost</v>
      </c>
      <c r="F215" s="6">
        <v>10</v>
      </c>
      <c r="G215" s="2">
        <f>VLOOKUP(D215,Справочник_товары,4) * (1 +VLOOKUP(D215,Справочник_товары,5))</f>
        <v>11700</v>
      </c>
      <c r="H215" s="20">
        <f>F215*G215</f>
        <v>117000</v>
      </c>
    </row>
    <row r="216" spans="3:8" ht="29" x14ac:dyDescent="0.35">
      <c r="C216" s="19">
        <v>45677</v>
      </c>
      <c r="D216" s="6">
        <v>5</v>
      </c>
      <c r="E216" s="2" t="str">
        <f>VLOOKUP(D216,Справочник_товары,2)</f>
        <v>Кроссовки повседневные New Balance</v>
      </c>
      <c r="F216" s="6">
        <v>7</v>
      </c>
      <c r="G216" s="2">
        <f>VLOOKUP(D216,Справочник_товары,4) * (1 +VLOOKUP(D216,Справочник_товары,5))</f>
        <v>7425</v>
      </c>
      <c r="H216" s="20">
        <f>F216*G216</f>
        <v>51975</v>
      </c>
    </row>
    <row r="217" spans="3:8" ht="29" x14ac:dyDescent="0.35">
      <c r="C217" s="19">
        <v>45677</v>
      </c>
      <c r="D217" s="6">
        <v>5</v>
      </c>
      <c r="E217" s="2" t="str">
        <f>VLOOKUP(D217,Справочник_товары,2)</f>
        <v>Кроссовки повседневные New Balance</v>
      </c>
      <c r="F217" s="6">
        <v>10</v>
      </c>
      <c r="G217" s="2">
        <f>VLOOKUP(D217,Справочник_товары,4) * (1 +VLOOKUP(D217,Справочник_товары,5))</f>
        <v>7425</v>
      </c>
      <c r="H217" s="20">
        <f>F217*G217</f>
        <v>74250</v>
      </c>
    </row>
    <row r="218" spans="3:8" ht="29" x14ac:dyDescent="0.35">
      <c r="C218" s="19">
        <v>45677</v>
      </c>
      <c r="D218" s="6">
        <v>6</v>
      </c>
      <c r="E218" s="2" t="str">
        <f>VLOOKUP(D218,Справочник_товары,2)</f>
        <v>Кроссовки треккинговые Salomon X-Hike</v>
      </c>
      <c r="F218" s="6">
        <v>9</v>
      </c>
      <c r="G218" s="2">
        <f>VLOOKUP(D218,Справочник_товары,4) * (1 +VLOOKUP(D218,Справочник_товары,5))</f>
        <v>7559.9999999999991</v>
      </c>
      <c r="H218" s="20">
        <f>F218*G218</f>
        <v>68039.999999999985</v>
      </c>
    </row>
    <row r="219" spans="3:8" ht="29" x14ac:dyDescent="0.35">
      <c r="C219" s="19">
        <v>45677</v>
      </c>
      <c r="D219" s="6">
        <v>6</v>
      </c>
      <c r="E219" s="2" t="str">
        <f>VLOOKUP(D219,Справочник_товары,2)</f>
        <v>Кроссовки треккинговые Salomon X-Hike</v>
      </c>
      <c r="F219" s="6">
        <v>10</v>
      </c>
      <c r="G219" s="2">
        <f>VLOOKUP(D219,Справочник_товары,4) * (1 +VLOOKUP(D219,Справочник_товары,5))</f>
        <v>7559.9999999999991</v>
      </c>
      <c r="H219" s="20">
        <f>F219*G219</f>
        <v>75599.999999999985</v>
      </c>
    </row>
    <row r="220" spans="3:8" ht="29" x14ac:dyDescent="0.35">
      <c r="C220" s="19">
        <v>45678</v>
      </c>
      <c r="D220" s="6">
        <v>3</v>
      </c>
      <c r="E220" s="2" t="str">
        <f>VLOOKUP(D220,Справочник_товары,2)</f>
        <v>Кросовки детские Puma Play</v>
      </c>
      <c r="F220" s="6">
        <v>1</v>
      </c>
      <c r="G220" s="2">
        <f>VLOOKUP(D220,Справочник_товары,4) * (1 +VLOOKUP(D220,Справочник_товары,5))</f>
        <v>5120</v>
      </c>
      <c r="H220" s="20">
        <f>F220*G220</f>
        <v>5120</v>
      </c>
    </row>
    <row r="221" spans="3:8" ht="29" x14ac:dyDescent="0.35">
      <c r="C221" s="19">
        <v>45678</v>
      </c>
      <c r="D221" s="6">
        <v>4</v>
      </c>
      <c r="E221" s="2" t="str">
        <f>VLOOKUP(D221,Справочник_товары,2)</f>
        <v>Кроссовки дл бега Reebok Floatride</v>
      </c>
      <c r="F221" s="6">
        <v>1</v>
      </c>
      <c r="G221" s="2">
        <f>VLOOKUP(D221,Справочник_товары,4) * (1 +VLOOKUP(D221,Справочник_товары,5))</f>
        <v>10385</v>
      </c>
      <c r="H221" s="20">
        <f>F221*G221</f>
        <v>10385</v>
      </c>
    </row>
    <row r="222" spans="3:8" ht="29" x14ac:dyDescent="0.35">
      <c r="C222" s="19">
        <v>45678</v>
      </c>
      <c r="D222" s="6">
        <v>4</v>
      </c>
      <c r="E222" s="2" t="str">
        <f>VLOOKUP(D222,Справочник_товары,2)</f>
        <v>Кроссовки дл бега Reebok Floatride</v>
      </c>
      <c r="F222" s="6">
        <v>6</v>
      </c>
      <c r="G222" s="2">
        <f>VLOOKUP(D222,Справочник_товары,4) * (1 +VLOOKUP(D222,Справочник_товары,5))</f>
        <v>10385</v>
      </c>
      <c r="H222" s="20">
        <f>F222*G222</f>
        <v>62310</v>
      </c>
    </row>
    <row r="223" spans="3:8" ht="29" x14ac:dyDescent="0.35">
      <c r="C223" s="19">
        <v>45678</v>
      </c>
      <c r="D223" s="6">
        <v>4</v>
      </c>
      <c r="E223" s="2" t="str">
        <f>VLOOKUP(D223,Справочник_товары,2)</f>
        <v>Кроссовки дл бега Reebok Floatride</v>
      </c>
      <c r="F223" s="6">
        <v>10</v>
      </c>
      <c r="G223" s="2">
        <f>VLOOKUP(D223,Справочник_товары,4) * (1 +VLOOKUP(D223,Справочник_товары,5))</f>
        <v>10385</v>
      </c>
      <c r="H223" s="20">
        <f>F223*G223</f>
        <v>103850</v>
      </c>
    </row>
    <row r="224" spans="3:8" ht="29" x14ac:dyDescent="0.35">
      <c r="C224" s="19">
        <v>45678</v>
      </c>
      <c r="D224" s="6">
        <v>2</v>
      </c>
      <c r="E224" s="2" t="str">
        <f>VLOOKUP(D224,Справочник_товары,2)</f>
        <v>Кроссовки женские Adidas Ultraboost</v>
      </c>
      <c r="F224" s="6">
        <v>2</v>
      </c>
      <c r="G224" s="2">
        <f>VLOOKUP(D224,Справочник_товары,4) * (1 +VLOOKUP(D224,Справочник_товары,5))</f>
        <v>11700</v>
      </c>
      <c r="H224" s="20">
        <f>F224*G224</f>
        <v>23400</v>
      </c>
    </row>
    <row r="225" spans="3:8" ht="29" x14ac:dyDescent="0.35">
      <c r="C225" s="19">
        <v>45678</v>
      </c>
      <c r="D225" s="6">
        <v>2</v>
      </c>
      <c r="E225" s="2" t="str">
        <f>VLOOKUP(D225,Справочник_товары,2)</f>
        <v>Кроссовки женские Adidas Ultraboost</v>
      </c>
      <c r="F225" s="6">
        <v>6</v>
      </c>
      <c r="G225" s="2">
        <f>VLOOKUP(D225,Справочник_товары,4) * (1 +VLOOKUP(D225,Справочник_товары,5))</f>
        <v>11700</v>
      </c>
      <c r="H225" s="20">
        <f>F225*G225</f>
        <v>70200</v>
      </c>
    </row>
    <row r="226" spans="3:8" ht="29" x14ac:dyDescent="0.35">
      <c r="C226" s="19">
        <v>45678</v>
      </c>
      <c r="D226" s="6">
        <v>2</v>
      </c>
      <c r="E226" s="2" t="str">
        <f>VLOOKUP(D226,Справочник_товары,2)</f>
        <v>Кроссовки женские Adidas Ultraboost</v>
      </c>
      <c r="F226" s="6">
        <v>8</v>
      </c>
      <c r="G226" s="2">
        <f>VLOOKUP(D226,Справочник_товары,4) * (1 +VLOOKUP(D226,Справочник_товары,5))</f>
        <v>11700</v>
      </c>
      <c r="H226" s="20">
        <f>F226*G226</f>
        <v>93600</v>
      </c>
    </row>
    <row r="227" spans="3:8" ht="29" x14ac:dyDescent="0.35">
      <c r="C227" s="19">
        <v>45678</v>
      </c>
      <c r="D227" s="6">
        <v>2</v>
      </c>
      <c r="E227" s="2" t="str">
        <f>VLOOKUP(D227,Справочник_товары,2)</f>
        <v>Кроссовки женские Adidas Ultraboost</v>
      </c>
      <c r="F227" s="6">
        <v>10</v>
      </c>
      <c r="G227" s="2">
        <f>VLOOKUP(D227,Справочник_товары,4) * (1 +VLOOKUP(D227,Справочник_товары,5))</f>
        <v>11700</v>
      </c>
      <c r="H227" s="20">
        <f>F227*G227</f>
        <v>117000</v>
      </c>
    </row>
    <row r="228" spans="3:8" ht="29" x14ac:dyDescent="0.35">
      <c r="C228" s="19">
        <v>45678</v>
      </c>
      <c r="D228" s="6">
        <v>1</v>
      </c>
      <c r="E228" s="2" t="str">
        <f>VLOOKUP(D228,Справочник_товары,2)</f>
        <v>Кроссовки мужские Nike Air Max</v>
      </c>
      <c r="F228" s="6">
        <v>8</v>
      </c>
      <c r="G228" s="2">
        <f>VLOOKUP(D228,Справочник_товары,4) * (1 +VLOOKUP(D228,Справочник_товары,5))</f>
        <v>12325</v>
      </c>
      <c r="H228" s="20">
        <f>F228*G228</f>
        <v>98600</v>
      </c>
    </row>
    <row r="229" spans="3:8" ht="29" x14ac:dyDescent="0.35">
      <c r="C229" s="19">
        <v>45678</v>
      </c>
      <c r="D229" s="6">
        <v>5</v>
      </c>
      <c r="E229" s="2" t="str">
        <f>VLOOKUP(D229,Справочник_товары,2)</f>
        <v>Кроссовки повседневные New Balance</v>
      </c>
      <c r="F229" s="6">
        <v>4</v>
      </c>
      <c r="G229" s="2">
        <f>VLOOKUP(D229,Справочник_товары,4) * (1 +VLOOKUP(D229,Справочник_товары,5))</f>
        <v>7425</v>
      </c>
      <c r="H229" s="20">
        <f>F229*G229</f>
        <v>29700</v>
      </c>
    </row>
    <row r="230" spans="3:8" ht="29" x14ac:dyDescent="0.35">
      <c r="C230" s="19">
        <v>45678</v>
      </c>
      <c r="D230" s="6">
        <v>5</v>
      </c>
      <c r="E230" s="2" t="str">
        <f>VLOOKUP(D230,Справочник_товары,2)</f>
        <v>Кроссовки повседневные New Balance</v>
      </c>
      <c r="F230" s="6">
        <v>5</v>
      </c>
      <c r="G230" s="2">
        <f>VLOOKUP(D230,Справочник_товары,4) * (1 +VLOOKUP(D230,Справочник_товары,5))</f>
        <v>7425</v>
      </c>
      <c r="H230" s="20">
        <f>F230*G230</f>
        <v>37125</v>
      </c>
    </row>
    <row r="231" spans="3:8" ht="29" x14ac:dyDescent="0.35">
      <c r="C231" s="19">
        <v>45678</v>
      </c>
      <c r="D231" s="6">
        <v>6</v>
      </c>
      <c r="E231" s="2" t="str">
        <f>VLOOKUP(D231,Справочник_товары,2)</f>
        <v>Кроссовки треккинговые Salomon X-Hike</v>
      </c>
      <c r="F231" s="6">
        <v>7</v>
      </c>
      <c r="G231" s="2">
        <f>VLOOKUP(D231,Справочник_товары,4) * (1 +VLOOKUP(D231,Справочник_товары,5))</f>
        <v>7559.9999999999991</v>
      </c>
      <c r="H231" s="20">
        <f>F231*G231</f>
        <v>52919.999999999993</v>
      </c>
    </row>
    <row r="232" spans="3:8" ht="29" x14ac:dyDescent="0.35">
      <c r="C232" s="19">
        <v>45678</v>
      </c>
      <c r="D232" s="6">
        <v>6</v>
      </c>
      <c r="E232" s="2" t="str">
        <f>VLOOKUP(D232,Справочник_товары,2)</f>
        <v>Кроссовки треккинговые Salomon X-Hike</v>
      </c>
      <c r="F232" s="6">
        <v>10</v>
      </c>
      <c r="G232" s="2">
        <f>VLOOKUP(D232,Справочник_товары,4) * (1 +VLOOKUP(D232,Справочник_товары,5))</f>
        <v>7559.9999999999991</v>
      </c>
      <c r="H232" s="20">
        <f>F232*G232</f>
        <v>75599.999999999985</v>
      </c>
    </row>
    <row r="233" spans="3:8" ht="29" x14ac:dyDescent="0.35">
      <c r="C233" s="19">
        <v>45679</v>
      </c>
      <c r="D233" s="6">
        <v>3</v>
      </c>
      <c r="E233" s="2" t="str">
        <f>VLOOKUP(D233,Справочник_товары,2)</f>
        <v>Кросовки детские Puma Play</v>
      </c>
      <c r="F233" s="6">
        <v>5</v>
      </c>
      <c r="G233" s="2">
        <f>VLOOKUP(D233,Справочник_товары,4) * (1 +VLOOKUP(D233,Справочник_товары,5))</f>
        <v>5120</v>
      </c>
      <c r="H233" s="20">
        <f>F233*G233</f>
        <v>25600</v>
      </c>
    </row>
    <row r="234" spans="3:8" ht="29" x14ac:dyDescent="0.35">
      <c r="C234" s="19">
        <v>45679</v>
      </c>
      <c r="D234" s="6">
        <v>3</v>
      </c>
      <c r="E234" s="2" t="str">
        <f>VLOOKUP(D234,Справочник_товары,2)</f>
        <v>Кросовки детские Puma Play</v>
      </c>
      <c r="F234" s="6">
        <v>6</v>
      </c>
      <c r="G234" s="2">
        <f>VLOOKUP(D234,Справочник_товары,4) * (1 +VLOOKUP(D234,Справочник_товары,5))</f>
        <v>5120</v>
      </c>
      <c r="H234" s="20">
        <f>F234*G234</f>
        <v>30720</v>
      </c>
    </row>
    <row r="235" spans="3:8" ht="29" x14ac:dyDescent="0.35">
      <c r="C235" s="19">
        <v>45679</v>
      </c>
      <c r="D235" s="6">
        <v>4</v>
      </c>
      <c r="E235" s="2" t="str">
        <f>VLOOKUP(D235,Справочник_товары,2)</f>
        <v>Кроссовки дл бега Reebok Floatride</v>
      </c>
      <c r="F235" s="6">
        <v>9</v>
      </c>
      <c r="G235" s="2">
        <f>VLOOKUP(D235,Справочник_товары,4) * (1 +VLOOKUP(D235,Справочник_товары,5))</f>
        <v>10385</v>
      </c>
      <c r="H235" s="20">
        <f>F235*G235</f>
        <v>93465</v>
      </c>
    </row>
    <row r="236" spans="3:8" ht="29" x14ac:dyDescent="0.35">
      <c r="C236" s="19">
        <v>45679</v>
      </c>
      <c r="D236" s="6">
        <v>1</v>
      </c>
      <c r="E236" s="2" t="str">
        <f>VLOOKUP(D236,Справочник_товары,2)</f>
        <v>Кроссовки мужские Nike Air Max</v>
      </c>
      <c r="F236" s="6">
        <v>10</v>
      </c>
      <c r="G236" s="2">
        <f>VLOOKUP(D236,Справочник_товары,4) * (1 +VLOOKUP(D236,Справочник_товары,5))</f>
        <v>12325</v>
      </c>
      <c r="H236" s="20">
        <f>F236*G236</f>
        <v>123250</v>
      </c>
    </row>
    <row r="237" spans="3:8" ht="29" x14ac:dyDescent="0.35">
      <c r="C237" s="19">
        <v>45679</v>
      </c>
      <c r="D237" s="6">
        <v>1</v>
      </c>
      <c r="E237" s="2" t="str">
        <f>VLOOKUP(D237,Справочник_товары,2)</f>
        <v>Кроссовки мужские Nike Air Max</v>
      </c>
      <c r="F237" s="6">
        <v>10</v>
      </c>
      <c r="G237" s="2">
        <f>VLOOKUP(D237,Справочник_товары,4) * (1 +VLOOKUP(D237,Справочник_товары,5))</f>
        <v>12325</v>
      </c>
      <c r="H237" s="20">
        <f>F237*G237</f>
        <v>123250</v>
      </c>
    </row>
    <row r="238" spans="3:8" ht="29" x14ac:dyDescent="0.35">
      <c r="C238" s="19">
        <v>45680</v>
      </c>
      <c r="D238" s="6">
        <v>3</v>
      </c>
      <c r="E238" s="2" t="str">
        <f>VLOOKUP(D238,Справочник_товары,2)</f>
        <v>Кросовки детские Puma Play</v>
      </c>
      <c r="F238" s="6">
        <v>1</v>
      </c>
      <c r="G238" s="2">
        <f>VLOOKUP(D238,Справочник_товары,4) * (1 +VLOOKUP(D238,Справочник_товары,5))</f>
        <v>5120</v>
      </c>
      <c r="H238" s="20">
        <f>F238*G238</f>
        <v>5120</v>
      </c>
    </row>
    <row r="239" spans="3:8" ht="29" x14ac:dyDescent="0.35">
      <c r="C239" s="19">
        <v>45680</v>
      </c>
      <c r="D239" s="6">
        <v>3</v>
      </c>
      <c r="E239" s="2" t="str">
        <f>VLOOKUP(D239,Справочник_товары,2)</f>
        <v>Кросовки детские Puma Play</v>
      </c>
      <c r="F239" s="6">
        <v>6</v>
      </c>
      <c r="G239" s="2">
        <f>VLOOKUP(D239,Справочник_товары,4) * (1 +VLOOKUP(D239,Справочник_товары,5))</f>
        <v>5120</v>
      </c>
      <c r="H239" s="20">
        <f>F239*G239</f>
        <v>30720</v>
      </c>
    </row>
    <row r="240" spans="3:8" ht="29" x14ac:dyDescent="0.35">
      <c r="C240" s="19">
        <v>45680</v>
      </c>
      <c r="D240" s="6">
        <v>2</v>
      </c>
      <c r="E240" s="2" t="str">
        <f>VLOOKUP(D240,Справочник_товары,2)</f>
        <v>Кроссовки женские Adidas Ultraboost</v>
      </c>
      <c r="F240" s="6">
        <v>9</v>
      </c>
      <c r="G240" s="2">
        <f>VLOOKUP(D240,Справочник_товары,4) * (1 +VLOOKUP(D240,Справочник_товары,5))</f>
        <v>11700</v>
      </c>
      <c r="H240" s="20">
        <f>F240*G240</f>
        <v>105300</v>
      </c>
    </row>
    <row r="241" spans="3:8" ht="29" x14ac:dyDescent="0.35">
      <c r="C241" s="19">
        <v>45680</v>
      </c>
      <c r="D241" s="6">
        <v>1</v>
      </c>
      <c r="E241" s="2" t="str">
        <f>VLOOKUP(D241,Справочник_товары,2)</f>
        <v>Кроссовки мужские Nike Air Max</v>
      </c>
      <c r="F241" s="6">
        <v>2</v>
      </c>
      <c r="G241" s="2">
        <f>VLOOKUP(D241,Справочник_товары,4) * (1 +VLOOKUP(D241,Справочник_товары,5))</f>
        <v>12325</v>
      </c>
      <c r="H241" s="20">
        <f>F241*G241</f>
        <v>24650</v>
      </c>
    </row>
    <row r="242" spans="3:8" ht="29" x14ac:dyDescent="0.35">
      <c r="C242" s="19">
        <v>45680</v>
      </c>
      <c r="D242" s="6">
        <v>6</v>
      </c>
      <c r="E242" s="2" t="str">
        <f>VLOOKUP(D242,Справочник_товары,2)</f>
        <v>Кроссовки треккинговые Salomon X-Hike</v>
      </c>
      <c r="F242" s="6">
        <v>5</v>
      </c>
      <c r="G242" s="2">
        <f>VLOOKUP(D242,Справочник_товары,4) * (1 +VLOOKUP(D242,Справочник_товары,5))</f>
        <v>7559.9999999999991</v>
      </c>
      <c r="H242" s="20">
        <f>F242*G242</f>
        <v>37799.999999999993</v>
      </c>
    </row>
    <row r="243" spans="3:8" ht="29" x14ac:dyDescent="0.35">
      <c r="C243" s="19">
        <v>45680</v>
      </c>
      <c r="D243" s="6">
        <v>6</v>
      </c>
      <c r="E243" s="2" t="str">
        <f>VLOOKUP(D243,Справочник_товары,2)</f>
        <v>Кроссовки треккинговые Salomon X-Hike</v>
      </c>
      <c r="F243" s="6">
        <v>10</v>
      </c>
      <c r="G243" s="2">
        <f>VLOOKUP(D243,Справочник_товары,4) * (1 +VLOOKUP(D243,Справочник_товары,5))</f>
        <v>7559.9999999999991</v>
      </c>
      <c r="H243" s="20">
        <f>F243*G243</f>
        <v>75599.999999999985</v>
      </c>
    </row>
    <row r="244" spans="3:8" ht="29" x14ac:dyDescent="0.35">
      <c r="C244" s="19">
        <v>45681</v>
      </c>
      <c r="D244" s="6">
        <v>3</v>
      </c>
      <c r="E244" s="2" t="str">
        <f>VLOOKUP(D244,Справочник_товары,2)</f>
        <v>Кросовки детские Puma Play</v>
      </c>
      <c r="F244" s="6">
        <v>3</v>
      </c>
      <c r="G244" s="2">
        <f>VLOOKUP(D244,Справочник_товары,4) * (1 +VLOOKUP(D244,Справочник_товары,5))</f>
        <v>5120</v>
      </c>
      <c r="H244" s="20">
        <f>F244*G244</f>
        <v>15360</v>
      </c>
    </row>
    <row r="245" spans="3:8" ht="29" x14ac:dyDescent="0.35">
      <c r="C245" s="19">
        <v>45681</v>
      </c>
      <c r="D245" s="6">
        <v>3</v>
      </c>
      <c r="E245" s="2" t="str">
        <f>VLOOKUP(D245,Справочник_товары,2)</f>
        <v>Кросовки детские Puma Play</v>
      </c>
      <c r="F245" s="6">
        <v>4</v>
      </c>
      <c r="G245" s="2">
        <f>VLOOKUP(D245,Справочник_товары,4) * (1 +VLOOKUP(D245,Справочник_товары,5))</f>
        <v>5120</v>
      </c>
      <c r="H245" s="20">
        <f>F245*G245</f>
        <v>20480</v>
      </c>
    </row>
    <row r="246" spans="3:8" ht="29" x14ac:dyDescent="0.35">
      <c r="C246" s="19">
        <v>45681</v>
      </c>
      <c r="D246" s="6">
        <v>4</v>
      </c>
      <c r="E246" s="2" t="str">
        <f>VLOOKUP(D246,Справочник_товары,2)</f>
        <v>Кроссовки дл бега Reebok Floatride</v>
      </c>
      <c r="F246" s="6">
        <v>6</v>
      </c>
      <c r="G246" s="2">
        <f>VLOOKUP(D246,Справочник_товары,4) * (1 +VLOOKUP(D246,Справочник_товары,5))</f>
        <v>10385</v>
      </c>
      <c r="H246" s="20">
        <f>F246*G246</f>
        <v>62310</v>
      </c>
    </row>
    <row r="247" spans="3:8" ht="29" x14ac:dyDescent="0.35">
      <c r="C247" s="19">
        <v>45681</v>
      </c>
      <c r="D247" s="6">
        <v>2</v>
      </c>
      <c r="E247" s="2" t="str">
        <f>VLOOKUP(D247,Справочник_товары,2)</f>
        <v>Кроссовки женские Adidas Ultraboost</v>
      </c>
      <c r="F247" s="6">
        <v>7</v>
      </c>
      <c r="G247" s="2">
        <f>VLOOKUP(D247,Справочник_товары,4) * (1 +VLOOKUP(D247,Справочник_товары,5))</f>
        <v>11700</v>
      </c>
      <c r="H247" s="20">
        <f>F247*G247</f>
        <v>81900</v>
      </c>
    </row>
    <row r="248" spans="3:8" ht="29" x14ac:dyDescent="0.35">
      <c r="C248" s="19">
        <v>45681</v>
      </c>
      <c r="D248" s="6">
        <v>2</v>
      </c>
      <c r="E248" s="2" t="str">
        <f>VLOOKUP(D248,Справочник_товары,2)</f>
        <v>Кроссовки женские Adidas Ultraboost</v>
      </c>
      <c r="F248" s="6">
        <v>10</v>
      </c>
      <c r="G248" s="2">
        <f>VLOOKUP(D248,Справочник_товары,4) * (1 +VLOOKUP(D248,Справочник_товары,5))</f>
        <v>11700</v>
      </c>
      <c r="H248" s="20">
        <f>F248*G248</f>
        <v>117000</v>
      </c>
    </row>
    <row r="249" spans="3:8" ht="29" x14ac:dyDescent="0.35">
      <c r="C249" s="19">
        <v>45681</v>
      </c>
      <c r="D249" s="6">
        <v>1</v>
      </c>
      <c r="E249" s="2" t="str">
        <f>VLOOKUP(D249,Справочник_товары,2)</f>
        <v>Кроссовки мужские Nike Air Max</v>
      </c>
      <c r="F249" s="6">
        <v>10</v>
      </c>
      <c r="G249" s="2">
        <f>VLOOKUP(D249,Справочник_товары,4) * (1 +VLOOKUP(D249,Справочник_товары,5))</f>
        <v>12325</v>
      </c>
      <c r="H249" s="20">
        <f>F249*G249</f>
        <v>123250</v>
      </c>
    </row>
    <row r="250" spans="3:8" ht="29" x14ac:dyDescent="0.35">
      <c r="C250" s="19">
        <v>45681</v>
      </c>
      <c r="D250" s="6">
        <v>5</v>
      </c>
      <c r="E250" s="2" t="str">
        <f>VLOOKUP(D250,Справочник_товары,2)</f>
        <v>Кроссовки повседневные New Balance</v>
      </c>
      <c r="F250" s="6">
        <v>7</v>
      </c>
      <c r="G250" s="2">
        <f>VLOOKUP(D250,Справочник_товары,4) * (1 +VLOOKUP(D250,Справочник_товары,5))</f>
        <v>7425</v>
      </c>
      <c r="H250" s="20">
        <f>F250*G250</f>
        <v>51975</v>
      </c>
    </row>
    <row r="251" spans="3:8" ht="29" x14ac:dyDescent="0.35">
      <c r="C251" s="19">
        <v>45681</v>
      </c>
      <c r="D251" s="6">
        <v>6</v>
      </c>
      <c r="E251" s="2" t="str">
        <f>VLOOKUP(D251,Справочник_товары,2)</f>
        <v>Кроссовки треккинговые Salomon X-Hike</v>
      </c>
      <c r="F251" s="6">
        <v>2</v>
      </c>
      <c r="G251" s="2">
        <f>VLOOKUP(D251,Справочник_товары,4) * (1 +VLOOKUP(D251,Справочник_товары,5))</f>
        <v>7559.9999999999991</v>
      </c>
      <c r="H251" s="20">
        <f>F251*G251</f>
        <v>15119.999999999998</v>
      </c>
    </row>
    <row r="252" spans="3:8" ht="29" x14ac:dyDescent="0.35">
      <c r="C252" s="19">
        <v>45681</v>
      </c>
      <c r="D252" s="6">
        <v>6</v>
      </c>
      <c r="E252" s="2" t="str">
        <f>VLOOKUP(D252,Справочник_товары,2)</f>
        <v>Кроссовки треккинговые Salomon X-Hike</v>
      </c>
      <c r="F252" s="6">
        <v>7</v>
      </c>
      <c r="G252" s="2">
        <f>VLOOKUP(D252,Справочник_товары,4) * (1 +VLOOKUP(D252,Справочник_товары,5))</f>
        <v>7559.9999999999991</v>
      </c>
      <c r="H252" s="20">
        <f>F252*G252</f>
        <v>52919.999999999993</v>
      </c>
    </row>
    <row r="253" spans="3:8" ht="29" x14ac:dyDescent="0.35">
      <c r="C253" s="19">
        <v>45681</v>
      </c>
      <c r="D253" s="6">
        <v>6</v>
      </c>
      <c r="E253" s="2" t="str">
        <f>VLOOKUP(D253,Справочник_товары,2)</f>
        <v>Кроссовки треккинговые Salomon X-Hike</v>
      </c>
      <c r="F253" s="6">
        <v>8</v>
      </c>
      <c r="G253" s="2">
        <f>VLOOKUP(D253,Справочник_товары,4) * (1 +VLOOKUP(D253,Справочник_товары,5))</f>
        <v>7559.9999999999991</v>
      </c>
      <c r="H253" s="20">
        <f>F253*G253</f>
        <v>60479.999999999993</v>
      </c>
    </row>
    <row r="254" spans="3:8" ht="29" x14ac:dyDescent="0.35">
      <c r="C254" s="19">
        <v>45681</v>
      </c>
      <c r="D254" s="6">
        <v>6</v>
      </c>
      <c r="E254" s="2" t="str">
        <f>VLOOKUP(D254,Справочник_товары,2)</f>
        <v>Кроссовки треккинговые Salomon X-Hike</v>
      </c>
      <c r="F254" s="6">
        <v>10</v>
      </c>
      <c r="G254" s="2">
        <f>VLOOKUP(D254,Справочник_товары,4) * (1 +VLOOKUP(D254,Справочник_товары,5))</f>
        <v>7559.9999999999991</v>
      </c>
      <c r="H254" s="20">
        <f>F254*G254</f>
        <v>75599.999999999985</v>
      </c>
    </row>
    <row r="255" spans="3:8" ht="29" x14ac:dyDescent="0.35">
      <c r="C255" s="19">
        <v>45681</v>
      </c>
      <c r="D255" s="6">
        <v>6</v>
      </c>
      <c r="E255" s="2" t="str">
        <f>VLOOKUP(D255,Справочник_товары,2)</f>
        <v>Кроссовки треккинговые Salomon X-Hike</v>
      </c>
      <c r="F255" s="6">
        <v>10</v>
      </c>
      <c r="G255" s="2">
        <f>VLOOKUP(D255,Справочник_товары,4) * (1 +VLOOKUP(D255,Справочник_товары,5))</f>
        <v>7559.9999999999991</v>
      </c>
      <c r="H255" s="20">
        <f>F255*G255</f>
        <v>75599.999999999985</v>
      </c>
    </row>
    <row r="256" spans="3:8" ht="29" x14ac:dyDescent="0.35">
      <c r="C256" s="19">
        <v>45682</v>
      </c>
      <c r="D256" s="6">
        <v>3</v>
      </c>
      <c r="E256" s="2" t="str">
        <f>VLOOKUP(D256,Справочник_товары,2)</f>
        <v>Кросовки детские Puma Play</v>
      </c>
      <c r="F256" s="6">
        <v>5</v>
      </c>
      <c r="G256" s="2">
        <f>VLOOKUP(D256,Справочник_товары,4) * (1 +VLOOKUP(D256,Справочник_товары,5))</f>
        <v>5120</v>
      </c>
      <c r="H256" s="20">
        <f>F256*G256</f>
        <v>25600</v>
      </c>
    </row>
    <row r="257" spans="3:8" ht="29" x14ac:dyDescent="0.35">
      <c r="C257" s="19">
        <v>45682</v>
      </c>
      <c r="D257" s="6">
        <v>4</v>
      </c>
      <c r="E257" s="2" t="str">
        <f>VLOOKUP(D257,Справочник_товары,2)</f>
        <v>Кроссовки дл бега Reebok Floatride</v>
      </c>
      <c r="F257" s="6">
        <v>1</v>
      </c>
      <c r="G257" s="2">
        <f>VLOOKUP(D257,Справочник_товары,4) * (1 +VLOOKUP(D257,Справочник_товары,5))</f>
        <v>10385</v>
      </c>
      <c r="H257" s="20">
        <f>F257*G257</f>
        <v>10385</v>
      </c>
    </row>
    <row r="258" spans="3:8" ht="29" x14ac:dyDescent="0.35">
      <c r="C258" s="19">
        <v>45682</v>
      </c>
      <c r="D258" s="6">
        <v>4</v>
      </c>
      <c r="E258" s="2" t="str">
        <f>VLOOKUP(D258,Справочник_товары,2)</f>
        <v>Кроссовки дл бега Reebok Floatride</v>
      </c>
      <c r="F258" s="6">
        <v>2</v>
      </c>
      <c r="G258" s="2">
        <f>VLOOKUP(D258,Справочник_товары,4) * (1 +VLOOKUP(D258,Справочник_товары,5))</f>
        <v>10385</v>
      </c>
      <c r="H258" s="20">
        <f>F258*G258</f>
        <v>20770</v>
      </c>
    </row>
    <row r="259" spans="3:8" ht="29" x14ac:dyDescent="0.35">
      <c r="C259" s="19">
        <v>45682</v>
      </c>
      <c r="D259" s="6">
        <v>4</v>
      </c>
      <c r="E259" s="2" t="str">
        <f>VLOOKUP(D259,Справочник_товары,2)</f>
        <v>Кроссовки дл бега Reebok Floatride</v>
      </c>
      <c r="F259" s="6">
        <v>2</v>
      </c>
      <c r="G259" s="2">
        <f>VLOOKUP(D259,Справочник_товары,4) * (1 +VLOOKUP(D259,Справочник_товары,5))</f>
        <v>10385</v>
      </c>
      <c r="H259" s="20">
        <f>F259*G259</f>
        <v>20770</v>
      </c>
    </row>
    <row r="260" spans="3:8" ht="29" x14ac:dyDescent="0.35">
      <c r="C260" s="19">
        <v>45682</v>
      </c>
      <c r="D260" s="6">
        <v>2</v>
      </c>
      <c r="E260" s="2" t="str">
        <f>VLOOKUP(D260,Справочник_товары,2)</f>
        <v>Кроссовки женские Adidas Ultraboost</v>
      </c>
      <c r="F260" s="6">
        <v>4</v>
      </c>
      <c r="G260" s="2">
        <f>VLOOKUP(D260,Справочник_товары,4) * (1 +VLOOKUP(D260,Справочник_товары,5))</f>
        <v>11700</v>
      </c>
      <c r="H260" s="20">
        <f>F260*G260</f>
        <v>46800</v>
      </c>
    </row>
    <row r="261" spans="3:8" ht="29" x14ac:dyDescent="0.35">
      <c r="C261" s="19">
        <v>45682</v>
      </c>
      <c r="D261" s="6">
        <v>2</v>
      </c>
      <c r="E261" s="2" t="str">
        <f>VLOOKUP(D261,Справочник_товары,2)</f>
        <v>Кроссовки женские Adidas Ultraboost</v>
      </c>
      <c r="F261" s="6">
        <v>5</v>
      </c>
      <c r="G261" s="2">
        <f>VLOOKUP(D261,Справочник_товары,4) * (1 +VLOOKUP(D261,Справочник_товары,5))</f>
        <v>11700</v>
      </c>
      <c r="H261" s="20">
        <f>F261*G261</f>
        <v>58500</v>
      </c>
    </row>
    <row r="262" spans="3:8" ht="29" x14ac:dyDescent="0.35">
      <c r="C262" s="19">
        <v>45682</v>
      </c>
      <c r="D262" s="6">
        <v>2</v>
      </c>
      <c r="E262" s="2" t="str">
        <f>VLOOKUP(D262,Справочник_товары,2)</f>
        <v>Кроссовки женские Adidas Ultraboost</v>
      </c>
      <c r="F262" s="6">
        <v>9</v>
      </c>
      <c r="G262" s="2">
        <f>VLOOKUP(D262,Справочник_товары,4) * (1 +VLOOKUP(D262,Справочник_товары,5))</f>
        <v>11700</v>
      </c>
      <c r="H262" s="20">
        <f>F262*G262</f>
        <v>105300</v>
      </c>
    </row>
    <row r="263" spans="3:8" ht="29" x14ac:dyDescent="0.35">
      <c r="C263" s="19">
        <v>45682</v>
      </c>
      <c r="D263" s="6">
        <v>1</v>
      </c>
      <c r="E263" s="2" t="str">
        <f>VLOOKUP(D263,Справочник_товары,2)</f>
        <v>Кроссовки мужские Nike Air Max</v>
      </c>
      <c r="F263" s="6">
        <v>1</v>
      </c>
      <c r="G263" s="2">
        <f>VLOOKUP(D263,Справочник_товары,4) * (1 +VLOOKUP(D263,Справочник_товары,5))</f>
        <v>12325</v>
      </c>
      <c r="H263" s="20">
        <f>F263*G263</f>
        <v>12325</v>
      </c>
    </row>
    <row r="264" spans="3:8" ht="29" x14ac:dyDescent="0.35">
      <c r="C264" s="19">
        <v>45682</v>
      </c>
      <c r="D264" s="6">
        <v>5</v>
      </c>
      <c r="E264" s="2" t="str">
        <f>VLOOKUP(D264,Справочник_товары,2)</f>
        <v>Кроссовки повседневные New Balance</v>
      </c>
      <c r="F264" s="6">
        <v>6</v>
      </c>
      <c r="G264" s="2">
        <f>VLOOKUP(D264,Справочник_товары,4) * (1 +VLOOKUP(D264,Справочник_товары,5))</f>
        <v>7425</v>
      </c>
      <c r="H264" s="20">
        <f>F264*G264</f>
        <v>44550</v>
      </c>
    </row>
    <row r="265" spans="3:8" ht="29" x14ac:dyDescent="0.35">
      <c r="C265" s="19">
        <v>45682</v>
      </c>
      <c r="D265" s="6">
        <v>5</v>
      </c>
      <c r="E265" s="2" t="str">
        <f>VLOOKUP(D265,Справочник_товары,2)</f>
        <v>Кроссовки повседневные New Balance</v>
      </c>
      <c r="F265" s="6">
        <v>8</v>
      </c>
      <c r="G265" s="2">
        <f>VLOOKUP(D265,Справочник_товары,4) * (1 +VLOOKUP(D265,Справочник_товары,5))</f>
        <v>7425</v>
      </c>
      <c r="H265" s="20">
        <f>F265*G265</f>
        <v>59400</v>
      </c>
    </row>
    <row r="266" spans="3:8" ht="29" x14ac:dyDescent="0.35">
      <c r="C266" s="19">
        <v>45682</v>
      </c>
      <c r="D266" s="6">
        <v>6</v>
      </c>
      <c r="E266" s="2" t="str">
        <f>VLOOKUP(D266,Справочник_товары,2)</f>
        <v>Кроссовки треккинговые Salomon X-Hike</v>
      </c>
      <c r="F266" s="6">
        <v>1</v>
      </c>
      <c r="G266" s="2">
        <f>VLOOKUP(D266,Справочник_товары,4) * (1 +VLOOKUP(D266,Справочник_товары,5))</f>
        <v>7559.9999999999991</v>
      </c>
      <c r="H266" s="20">
        <f>F266*G266</f>
        <v>7559.9999999999991</v>
      </c>
    </row>
    <row r="267" spans="3:8" ht="29" x14ac:dyDescent="0.35">
      <c r="C267" s="19">
        <v>45682</v>
      </c>
      <c r="D267" s="6">
        <v>6</v>
      </c>
      <c r="E267" s="2" t="str">
        <f>VLOOKUP(D267,Справочник_товары,2)</f>
        <v>Кроссовки треккинговые Salomon X-Hike</v>
      </c>
      <c r="F267" s="6">
        <v>6</v>
      </c>
      <c r="G267" s="2">
        <f>VLOOKUP(D267,Справочник_товары,4) * (1 +VLOOKUP(D267,Справочник_товары,5))</f>
        <v>7559.9999999999991</v>
      </c>
      <c r="H267" s="20">
        <f>F267*G267</f>
        <v>45359.999999999993</v>
      </c>
    </row>
    <row r="268" spans="3:8" ht="29" x14ac:dyDescent="0.35">
      <c r="C268" s="19">
        <v>45682</v>
      </c>
      <c r="D268" s="6">
        <v>6</v>
      </c>
      <c r="E268" s="2" t="str">
        <f>VLOOKUP(D268,Справочник_товары,2)</f>
        <v>Кроссовки треккинговые Salomon X-Hike</v>
      </c>
      <c r="F268" s="6">
        <v>6</v>
      </c>
      <c r="G268" s="2">
        <f>VLOOKUP(D268,Справочник_товары,4) * (1 +VLOOKUP(D268,Справочник_товары,5))</f>
        <v>7559.9999999999991</v>
      </c>
      <c r="H268" s="20">
        <f>F268*G268</f>
        <v>45359.999999999993</v>
      </c>
    </row>
    <row r="269" spans="3:8" ht="29" x14ac:dyDescent="0.35">
      <c r="C269" s="19">
        <v>45683</v>
      </c>
      <c r="D269" s="6">
        <v>4</v>
      </c>
      <c r="E269" s="2" t="str">
        <f>VLOOKUP(D269,Справочник_товары,2)</f>
        <v>Кроссовки дл бега Reebok Floatride</v>
      </c>
      <c r="F269" s="6">
        <v>2</v>
      </c>
      <c r="G269" s="2">
        <f>VLOOKUP(D269,Справочник_товары,4) * (1 +VLOOKUP(D269,Справочник_товары,5))</f>
        <v>10385</v>
      </c>
      <c r="H269" s="20">
        <f>F269*G269</f>
        <v>20770</v>
      </c>
    </row>
    <row r="270" spans="3:8" ht="29" x14ac:dyDescent="0.35">
      <c r="C270" s="19">
        <v>45683</v>
      </c>
      <c r="D270" s="6">
        <v>4</v>
      </c>
      <c r="E270" s="2" t="str">
        <f>VLOOKUP(D270,Справочник_товары,2)</f>
        <v>Кроссовки дл бега Reebok Floatride</v>
      </c>
      <c r="F270" s="6">
        <v>8</v>
      </c>
      <c r="G270" s="2">
        <f>VLOOKUP(D270,Справочник_товары,4) * (1 +VLOOKUP(D270,Справочник_товары,5))</f>
        <v>10385</v>
      </c>
      <c r="H270" s="20">
        <f>F270*G270</f>
        <v>83080</v>
      </c>
    </row>
    <row r="271" spans="3:8" ht="29" x14ac:dyDescent="0.35">
      <c r="C271" s="19">
        <v>45683</v>
      </c>
      <c r="D271" s="6">
        <v>1</v>
      </c>
      <c r="E271" s="2" t="str">
        <f>VLOOKUP(D271,Справочник_товары,2)</f>
        <v>Кроссовки мужские Nike Air Max</v>
      </c>
      <c r="F271" s="6">
        <v>6</v>
      </c>
      <c r="G271" s="2">
        <f>VLOOKUP(D271,Справочник_товары,4) * (1 +VLOOKUP(D271,Справочник_товары,5))</f>
        <v>12325</v>
      </c>
      <c r="H271" s="20">
        <f>F271*G271</f>
        <v>73950</v>
      </c>
    </row>
    <row r="272" spans="3:8" ht="29" x14ac:dyDescent="0.35">
      <c r="C272" s="19">
        <v>45683</v>
      </c>
      <c r="D272" s="6">
        <v>1</v>
      </c>
      <c r="E272" s="2" t="str">
        <f>VLOOKUP(D272,Справочник_товары,2)</f>
        <v>Кроссовки мужские Nike Air Max</v>
      </c>
      <c r="F272" s="6">
        <v>10</v>
      </c>
      <c r="G272" s="2">
        <f>VLOOKUP(D272,Справочник_товары,4) * (1 +VLOOKUP(D272,Справочник_товары,5))</f>
        <v>12325</v>
      </c>
      <c r="H272" s="20">
        <f>F272*G272</f>
        <v>123250</v>
      </c>
    </row>
    <row r="273" spans="3:8" ht="29" x14ac:dyDescent="0.35">
      <c r="C273" s="19">
        <v>45683</v>
      </c>
      <c r="D273" s="6">
        <v>5</v>
      </c>
      <c r="E273" s="2" t="str">
        <f>VLOOKUP(D273,Справочник_товары,2)</f>
        <v>Кроссовки повседневные New Balance</v>
      </c>
      <c r="F273" s="6">
        <v>4</v>
      </c>
      <c r="G273" s="2">
        <f>VLOOKUP(D273,Справочник_товары,4) * (1 +VLOOKUP(D273,Справочник_товары,5))</f>
        <v>7425</v>
      </c>
      <c r="H273" s="20">
        <f>F273*G273</f>
        <v>29700</v>
      </c>
    </row>
    <row r="274" spans="3:8" ht="29" x14ac:dyDescent="0.35">
      <c r="C274" s="19">
        <v>45683</v>
      </c>
      <c r="D274" s="6">
        <v>5</v>
      </c>
      <c r="E274" s="2" t="str">
        <f>VLOOKUP(D274,Справочник_товары,2)</f>
        <v>Кроссовки повседневные New Balance</v>
      </c>
      <c r="F274" s="6">
        <v>8</v>
      </c>
      <c r="G274" s="2">
        <f>VLOOKUP(D274,Справочник_товары,4) * (1 +VLOOKUP(D274,Справочник_товары,5))</f>
        <v>7425</v>
      </c>
      <c r="H274" s="20">
        <f>F274*G274</f>
        <v>59400</v>
      </c>
    </row>
    <row r="275" spans="3:8" ht="29" x14ac:dyDescent="0.35">
      <c r="C275" s="19">
        <v>45683</v>
      </c>
      <c r="D275" s="6">
        <v>6</v>
      </c>
      <c r="E275" s="2" t="str">
        <f>VLOOKUP(D275,Справочник_товары,2)</f>
        <v>Кроссовки треккинговые Salomon X-Hike</v>
      </c>
      <c r="F275" s="6">
        <v>5</v>
      </c>
      <c r="G275" s="2">
        <f>VLOOKUP(D275,Справочник_товары,4) * (1 +VLOOKUP(D275,Справочник_товары,5))</f>
        <v>7559.9999999999991</v>
      </c>
      <c r="H275" s="20">
        <f>F275*G275</f>
        <v>37799.999999999993</v>
      </c>
    </row>
    <row r="276" spans="3:8" ht="29" x14ac:dyDescent="0.35">
      <c r="C276" s="19">
        <v>45683</v>
      </c>
      <c r="D276" s="6">
        <v>6</v>
      </c>
      <c r="E276" s="2" t="str">
        <f>VLOOKUP(D276,Справочник_товары,2)</f>
        <v>Кроссовки треккинговые Salomon X-Hike</v>
      </c>
      <c r="F276" s="6">
        <v>8</v>
      </c>
      <c r="G276" s="2">
        <f>VLOOKUP(D276,Справочник_товары,4) * (1 +VLOOKUP(D276,Справочник_товары,5))</f>
        <v>7559.9999999999991</v>
      </c>
      <c r="H276" s="20">
        <f>F276*G276</f>
        <v>60479.999999999993</v>
      </c>
    </row>
    <row r="277" spans="3:8" ht="29" x14ac:dyDescent="0.35">
      <c r="C277" s="19">
        <v>45683</v>
      </c>
      <c r="D277" s="6">
        <v>6</v>
      </c>
      <c r="E277" s="2" t="str">
        <f>VLOOKUP(D277,Справочник_товары,2)</f>
        <v>Кроссовки треккинговые Salomon X-Hike</v>
      </c>
      <c r="F277" s="6">
        <v>8</v>
      </c>
      <c r="G277" s="2">
        <f>VLOOKUP(D277,Справочник_товары,4) * (1 +VLOOKUP(D277,Справочник_товары,5))</f>
        <v>7559.9999999999991</v>
      </c>
      <c r="H277" s="20">
        <f>F277*G277</f>
        <v>60479.999999999993</v>
      </c>
    </row>
    <row r="278" spans="3:8" ht="29" x14ac:dyDescent="0.35">
      <c r="C278" s="19">
        <v>45684</v>
      </c>
      <c r="D278" s="6">
        <v>3</v>
      </c>
      <c r="E278" s="2" t="str">
        <f>VLOOKUP(D278,Справочник_товары,2)</f>
        <v>Кросовки детские Puma Play</v>
      </c>
      <c r="F278" s="6">
        <v>5</v>
      </c>
      <c r="G278" s="2">
        <f>VLOOKUP(D278,Справочник_товары,4) * (1 +VLOOKUP(D278,Справочник_товары,5))</f>
        <v>5120</v>
      </c>
      <c r="H278" s="20">
        <f>F278*G278</f>
        <v>25600</v>
      </c>
    </row>
    <row r="279" spans="3:8" ht="29" x14ac:dyDescent="0.35">
      <c r="C279" s="19">
        <v>45684</v>
      </c>
      <c r="D279" s="6">
        <v>3</v>
      </c>
      <c r="E279" s="2" t="str">
        <f>VLOOKUP(D279,Справочник_товары,2)</f>
        <v>Кросовки детские Puma Play</v>
      </c>
      <c r="F279" s="6">
        <v>6</v>
      </c>
      <c r="G279" s="2">
        <f>VLOOKUP(D279,Справочник_товары,4) * (1 +VLOOKUP(D279,Справочник_товары,5))</f>
        <v>5120</v>
      </c>
      <c r="H279" s="20">
        <f>F279*G279</f>
        <v>30720</v>
      </c>
    </row>
    <row r="280" spans="3:8" ht="29" x14ac:dyDescent="0.35">
      <c r="C280" s="19">
        <v>45684</v>
      </c>
      <c r="D280" s="6">
        <v>3</v>
      </c>
      <c r="E280" s="2" t="str">
        <f>VLOOKUP(D280,Справочник_товары,2)</f>
        <v>Кросовки детские Puma Play</v>
      </c>
      <c r="F280" s="6">
        <v>6</v>
      </c>
      <c r="G280" s="2">
        <f>VLOOKUP(D280,Справочник_товары,4) * (1 +VLOOKUP(D280,Справочник_товары,5))</f>
        <v>5120</v>
      </c>
      <c r="H280" s="20">
        <f>F280*G280</f>
        <v>30720</v>
      </c>
    </row>
    <row r="281" spans="3:8" ht="29" x14ac:dyDescent="0.35">
      <c r="C281" s="19">
        <v>45684</v>
      </c>
      <c r="D281" s="6">
        <v>3</v>
      </c>
      <c r="E281" s="2" t="str">
        <f>VLOOKUP(D281,Справочник_товары,2)</f>
        <v>Кросовки детские Puma Play</v>
      </c>
      <c r="F281" s="6">
        <v>7</v>
      </c>
      <c r="G281" s="2">
        <f>VLOOKUP(D281,Справочник_товары,4) * (1 +VLOOKUP(D281,Справочник_товары,5))</f>
        <v>5120</v>
      </c>
      <c r="H281" s="20">
        <f>F281*G281</f>
        <v>35840</v>
      </c>
    </row>
    <row r="282" spans="3:8" ht="29" x14ac:dyDescent="0.35">
      <c r="C282" s="19">
        <v>45684</v>
      </c>
      <c r="D282" s="6">
        <v>5</v>
      </c>
      <c r="E282" s="2" t="str">
        <f>VLOOKUP(D282,Справочник_товары,2)</f>
        <v>Кроссовки повседневные New Balance</v>
      </c>
      <c r="F282" s="6">
        <v>1</v>
      </c>
      <c r="G282" s="2">
        <f>VLOOKUP(D282,Справочник_товары,4) * (1 +VLOOKUP(D282,Справочник_товары,5))</f>
        <v>7425</v>
      </c>
      <c r="H282" s="20">
        <f>F282*G282</f>
        <v>7425</v>
      </c>
    </row>
    <row r="283" spans="3:8" ht="29" x14ac:dyDescent="0.35">
      <c r="C283" s="19">
        <v>45684</v>
      </c>
      <c r="D283" s="6">
        <v>5</v>
      </c>
      <c r="E283" s="2" t="str">
        <f>VLOOKUP(D283,Справочник_товары,2)</f>
        <v>Кроссовки повседневные New Balance</v>
      </c>
      <c r="F283" s="6">
        <v>2</v>
      </c>
      <c r="G283" s="2">
        <f>VLOOKUP(D283,Справочник_товары,4) * (1 +VLOOKUP(D283,Справочник_товары,5))</f>
        <v>7425</v>
      </c>
      <c r="H283" s="20">
        <f>F283*G283</f>
        <v>14850</v>
      </c>
    </row>
    <row r="284" spans="3:8" ht="29" x14ac:dyDescent="0.35">
      <c r="C284" s="19">
        <v>45684</v>
      </c>
      <c r="D284" s="6">
        <v>6</v>
      </c>
      <c r="E284" s="2" t="str">
        <f>VLOOKUP(D284,Справочник_товары,2)</f>
        <v>Кроссовки треккинговые Salomon X-Hike</v>
      </c>
      <c r="F284" s="6">
        <v>9</v>
      </c>
      <c r="G284" s="2">
        <f>VLOOKUP(D284,Справочник_товары,4) * (1 +VLOOKUP(D284,Справочник_товары,5))</f>
        <v>7559.9999999999991</v>
      </c>
      <c r="H284" s="20">
        <f>F284*G284</f>
        <v>68039.999999999985</v>
      </c>
    </row>
    <row r="285" spans="3:8" ht="29" x14ac:dyDescent="0.35">
      <c r="C285" s="19">
        <v>45685</v>
      </c>
      <c r="D285" s="6">
        <v>3</v>
      </c>
      <c r="E285" s="2" t="str">
        <f>VLOOKUP(D285,Справочник_товары,2)</f>
        <v>Кросовки детские Puma Play</v>
      </c>
      <c r="F285" s="6">
        <v>7</v>
      </c>
      <c r="G285" s="2">
        <f>VLOOKUP(D285,Справочник_товары,4) * (1 +VLOOKUP(D285,Справочник_товары,5))</f>
        <v>5120</v>
      </c>
      <c r="H285" s="20">
        <f>F285*G285</f>
        <v>35840</v>
      </c>
    </row>
    <row r="286" spans="3:8" ht="29" x14ac:dyDescent="0.35">
      <c r="C286" s="19">
        <v>45685</v>
      </c>
      <c r="D286" s="6">
        <v>3</v>
      </c>
      <c r="E286" s="2" t="str">
        <f>VLOOKUP(D286,Справочник_товары,2)</f>
        <v>Кросовки детские Puma Play</v>
      </c>
      <c r="F286" s="6">
        <v>10</v>
      </c>
      <c r="G286" s="2">
        <f>VLOOKUP(D286,Справочник_товары,4) * (1 +VLOOKUP(D286,Справочник_товары,5))</f>
        <v>5120</v>
      </c>
      <c r="H286" s="20">
        <f>F286*G286</f>
        <v>51200</v>
      </c>
    </row>
    <row r="287" spans="3:8" ht="29" x14ac:dyDescent="0.35">
      <c r="C287" s="19">
        <v>45685</v>
      </c>
      <c r="D287" s="6">
        <v>4</v>
      </c>
      <c r="E287" s="2" t="str">
        <f>VLOOKUP(D287,Справочник_товары,2)</f>
        <v>Кроссовки дл бега Reebok Floatride</v>
      </c>
      <c r="F287" s="6">
        <v>3</v>
      </c>
      <c r="G287" s="2">
        <f>VLOOKUP(D287,Справочник_товары,4) * (1 +VLOOKUP(D287,Справочник_товары,5))</f>
        <v>10385</v>
      </c>
      <c r="H287" s="20">
        <f>F287*G287</f>
        <v>31155</v>
      </c>
    </row>
    <row r="288" spans="3:8" ht="29" x14ac:dyDescent="0.35">
      <c r="C288" s="19">
        <v>45685</v>
      </c>
      <c r="D288" s="6">
        <v>2</v>
      </c>
      <c r="E288" s="2" t="str">
        <f>VLOOKUP(D288,Справочник_товары,2)</f>
        <v>Кроссовки женские Adidas Ultraboost</v>
      </c>
      <c r="F288" s="6">
        <v>5</v>
      </c>
      <c r="G288" s="2">
        <f>VLOOKUP(D288,Справочник_товары,4) * (1 +VLOOKUP(D288,Справочник_товары,5))</f>
        <v>11700</v>
      </c>
      <c r="H288" s="20">
        <f>F288*G288</f>
        <v>58500</v>
      </c>
    </row>
    <row r="289" spans="3:8" ht="29" x14ac:dyDescent="0.35">
      <c r="C289" s="19">
        <v>45685</v>
      </c>
      <c r="D289" s="6">
        <v>2</v>
      </c>
      <c r="E289" s="2" t="str">
        <f>VLOOKUP(D289,Справочник_товары,2)</f>
        <v>Кроссовки женские Adidas Ultraboost</v>
      </c>
      <c r="F289" s="6">
        <v>7</v>
      </c>
      <c r="G289" s="2">
        <f>VLOOKUP(D289,Справочник_товары,4) * (1 +VLOOKUP(D289,Справочник_товары,5))</f>
        <v>11700</v>
      </c>
      <c r="H289" s="20">
        <f>F289*G289</f>
        <v>81900</v>
      </c>
    </row>
    <row r="290" spans="3:8" ht="29" x14ac:dyDescent="0.35">
      <c r="C290" s="19">
        <v>45685</v>
      </c>
      <c r="D290" s="6">
        <v>1</v>
      </c>
      <c r="E290" s="2" t="str">
        <f>VLOOKUP(D290,Справочник_товары,2)</f>
        <v>Кроссовки мужские Nike Air Max</v>
      </c>
      <c r="F290" s="6">
        <v>7</v>
      </c>
      <c r="G290" s="2">
        <f>VLOOKUP(D290,Справочник_товары,4) * (1 +VLOOKUP(D290,Справочник_товары,5))</f>
        <v>12325</v>
      </c>
      <c r="H290" s="20">
        <f>F290*G290</f>
        <v>86275</v>
      </c>
    </row>
    <row r="291" spans="3:8" ht="29" x14ac:dyDescent="0.35">
      <c r="C291" s="19">
        <v>45685</v>
      </c>
      <c r="D291" s="6">
        <v>1</v>
      </c>
      <c r="E291" s="2" t="str">
        <f>VLOOKUP(D291,Справочник_товары,2)</f>
        <v>Кроссовки мужские Nike Air Max</v>
      </c>
      <c r="F291" s="6">
        <v>10</v>
      </c>
      <c r="G291" s="2">
        <f>VLOOKUP(D291,Справочник_товары,4) * (1 +VLOOKUP(D291,Справочник_товары,5))</f>
        <v>12325</v>
      </c>
      <c r="H291" s="20">
        <f>F291*G291</f>
        <v>123250</v>
      </c>
    </row>
    <row r="292" spans="3:8" ht="29" x14ac:dyDescent="0.35">
      <c r="C292" s="19">
        <v>45685</v>
      </c>
      <c r="D292" s="6">
        <v>5</v>
      </c>
      <c r="E292" s="2" t="str">
        <f>VLOOKUP(D292,Справочник_товары,2)</f>
        <v>Кроссовки повседневные New Balance</v>
      </c>
      <c r="F292" s="6">
        <v>3</v>
      </c>
      <c r="G292" s="2">
        <f>VLOOKUP(D292,Справочник_товары,4) * (1 +VLOOKUP(D292,Справочник_товары,5))</f>
        <v>7425</v>
      </c>
      <c r="H292" s="20">
        <f>F292*G292</f>
        <v>22275</v>
      </c>
    </row>
    <row r="293" spans="3:8" ht="29" x14ac:dyDescent="0.35">
      <c r="C293" s="19">
        <v>45685</v>
      </c>
      <c r="D293" s="6">
        <v>5</v>
      </c>
      <c r="E293" s="2" t="str">
        <f>VLOOKUP(D293,Справочник_товары,2)</f>
        <v>Кроссовки повседневные New Balance</v>
      </c>
      <c r="F293" s="6">
        <v>4</v>
      </c>
      <c r="G293" s="2">
        <f>VLOOKUP(D293,Справочник_товары,4) * (1 +VLOOKUP(D293,Справочник_товары,5))</f>
        <v>7425</v>
      </c>
      <c r="H293" s="20">
        <f>F293*G293</f>
        <v>29700</v>
      </c>
    </row>
    <row r="294" spans="3:8" ht="29" x14ac:dyDescent="0.35">
      <c r="C294" s="19">
        <v>45685</v>
      </c>
      <c r="D294" s="6">
        <v>6</v>
      </c>
      <c r="E294" s="2" t="str">
        <f>VLOOKUP(D294,Справочник_товары,2)</f>
        <v>Кроссовки треккинговые Salomon X-Hike</v>
      </c>
      <c r="F294" s="6">
        <v>3</v>
      </c>
      <c r="G294" s="2">
        <f>VLOOKUP(D294,Справочник_товары,4) * (1 +VLOOKUP(D294,Справочник_товары,5))</f>
        <v>7559.9999999999991</v>
      </c>
      <c r="H294" s="20">
        <f>F294*G294</f>
        <v>22679.999999999996</v>
      </c>
    </row>
    <row r="295" spans="3:8" ht="29" x14ac:dyDescent="0.35">
      <c r="C295" s="19">
        <v>45685</v>
      </c>
      <c r="D295" s="6">
        <v>6</v>
      </c>
      <c r="E295" s="2" t="str">
        <f>VLOOKUP(D295,Справочник_товары,2)</f>
        <v>Кроссовки треккинговые Salomon X-Hike</v>
      </c>
      <c r="F295" s="6">
        <v>6</v>
      </c>
      <c r="G295" s="2">
        <f>VLOOKUP(D295,Справочник_товары,4) * (1 +VLOOKUP(D295,Справочник_товары,5))</f>
        <v>7559.9999999999991</v>
      </c>
      <c r="H295" s="20">
        <f>F295*G295</f>
        <v>45359.999999999993</v>
      </c>
    </row>
    <row r="296" spans="3:8" ht="29" x14ac:dyDescent="0.35">
      <c r="C296" s="19">
        <v>45685</v>
      </c>
      <c r="D296" s="6">
        <v>6</v>
      </c>
      <c r="E296" s="2" t="str">
        <f>VLOOKUP(D296,Справочник_товары,2)</f>
        <v>Кроссовки треккинговые Salomon X-Hike</v>
      </c>
      <c r="F296" s="6">
        <v>10</v>
      </c>
      <c r="G296" s="2">
        <f>VLOOKUP(D296,Справочник_товары,4) * (1 +VLOOKUP(D296,Справочник_товары,5))</f>
        <v>7559.9999999999991</v>
      </c>
      <c r="H296" s="20">
        <f>F296*G296</f>
        <v>75599.999999999985</v>
      </c>
    </row>
    <row r="297" spans="3:8" ht="29" x14ac:dyDescent="0.35">
      <c r="C297" s="19">
        <v>45686</v>
      </c>
      <c r="D297" s="6">
        <v>3</v>
      </c>
      <c r="E297" s="2" t="str">
        <f>VLOOKUP(D297,Справочник_товары,2)</f>
        <v>Кросовки детские Puma Play</v>
      </c>
      <c r="F297" s="6">
        <v>1</v>
      </c>
      <c r="G297" s="2">
        <f>VLOOKUP(D297,Справочник_товары,4) * (1 +VLOOKUP(D297,Справочник_товары,5))</f>
        <v>5120</v>
      </c>
      <c r="H297" s="20">
        <f>F297*G297</f>
        <v>5120</v>
      </c>
    </row>
    <row r="298" spans="3:8" ht="29" x14ac:dyDescent="0.35">
      <c r="C298" s="19">
        <v>45686</v>
      </c>
      <c r="D298" s="6">
        <v>3</v>
      </c>
      <c r="E298" s="2" t="str">
        <f>VLOOKUP(D298,Справочник_товары,2)</f>
        <v>Кросовки детские Puma Play</v>
      </c>
      <c r="F298" s="6">
        <v>10</v>
      </c>
      <c r="G298" s="2">
        <f>VLOOKUP(D298,Справочник_товары,4) * (1 +VLOOKUP(D298,Справочник_товары,5))</f>
        <v>5120</v>
      </c>
      <c r="H298" s="20">
        <f>F298*G298</f>
        <v>51200</v>
      </c>
    </row>
    <row r="299" spans="3:8" ht="29" x14ac:dyDescent="0.35">
      <c r="C299" s="19">
        <v>45686</v>
      </c>
      <c r="D299" s="6">
        <v>4</v>
      </c>
      <c r="E299" s="2" t="str">
        <f>VLOOKUP(D299,Справочник_товары,2)</f>
        <v>Кроссовки дл бега Reebok Floatride</v>
      </c>
      <c r="F299" s="6">
        <v>6</v>
      </c>
      <c r="G299" s="2">
        <f>VLOOKUP(D299,Справочник_товары,4) * (1 +VLOOKUP(D299,Справочник_товары,5))</f>
        <v>10385</v>
      </c>
      <c r="H299" s="20">
        <f>F299*G299</f>
        <v>62310</v>
      </c>
    </row>
    <row r="300" spans="3:8" ht="29" x14ac:dyDescent="0.35">
      <c r="C300" s="19">
        <v>45686</v>
      </c>
      <c r="D300" s="6">
        <v>4</v>
      </c>
      <c r="E300" s="2" t="str">
        <f>VLOOKUP(D300,Справочник_товары,2)</f>
        <v>Кроссовки дл бега Reebok Floatride</v>
      </c>
      <c r="F300" s="6">
        <v>8</v>
      </c>
      <c r="G300" s="2">
        <f>VLOOKUP(D300,Справочник_товары,4) * (1 +VLOOKUP(D300,Справочник_товары,5))</f>
        <v>10385</v>
      </c>
      <c r="H300" s="20">
        <f>F300*G300</f>
        <v>83080</v>
      </c>
    </row>
    <row r="301" spans="3:8" ht="29" x14ac:dyDescent="0.35">
      <c r="C301" s="19">
        <v>45686</v>
      </c>
      <c r="D301" s="6">
        <v>2</v>
      </c>
      <c r="E301" s="2" t="str">
        <f>VLOOKUP(D301,Справочник_товары,2)</f>
        <v>Кроссовки женские Adidas Ultraboost</v>
      </c>
      <c r="F301" s="6">
        <v>7</v>
      </c>
      <c r="G301" s="2">
        <f>VLOOKUP(D301,Справочник_товары,4) * (1 +VLOOKUP(D301,Справочник_товары,5))</f>
        <v>11700</v>
      </c>
      <c r="H301" s="20">
        <f>F301*G301</f>
        <v>81900</v>
      </c>
    </row>
    <row r="302" spans="3:8" ht="29" x14ac:dyDescent="0.35">
      <c r="C302" s="19">
        <v>45686</v>
      </c>
      <c r="D302" s="6">
        <v>1</v>
      </c>
      <c r="E302" s="2" t="str">
        <f>VLOOKUP(D302,Справочник_товары,2)</f>
        <v>Кроссовки мужские Nike Air Max</v>
      </c>
      <c r="F302" s="6">
        <v>1</v>
      </c>
      <c r="G302" s="2">
        <f>VLOOKUP(D302,Справочник_товары,4) * (1 +VLOOKUP(D302,Справочник_товары,5))</f>
        <v>12325</v>
      </c>
      <c r="H302" s="20">
        <f>F302*G302</f>
        <v>12325</v>
      </c>
    </row>
    <row r="303" spans="3:8" ht="29" x14ac:dyDescent="0.35">
      <c r="C303" s="19">
        <v>45686</v>
      </c>
      <c r="D303" s="6">
        <v>1</v>
      </c>
      <c r="E303" s="2" t="str">
        <f>VLOOKUP(D303,Справочник_товары,2)</f>
        <v>Кроссовки мужские Nike Air Max</v>
      </c>
      <c r="F303" s="6">
        <v>2</v>
      </c>
      <c r="G303" s="2">
        <f>VLOOKUP(D303,Справочник_товары,4) * (1 +VLOOKUP(D303,Справочник_товары,5))</f>
        <v>12325</v>
      </c>
      <c r="H303" s="20">
        <f>F303*G303</f>
        <v>24650</v>
      </c>
    </row>
    <row r="304" spans="3:8" ht="29" x14ac:dyDescent="0.35">
      <c r="C304" s="19">
        <v>45686</v>
      </c>
      <c r="D304" s="6">
        <v>5</v>
      </c>
      <c r="E304" s="2" t="str">
        <f>VLOOKUP(D304,Справочник_товары,2)</f>
        <v>Кроссовки повседневные New Balance</v>
      </c>
      <c r="F304" s="6">
        <v>8</v>
      </c>
      <c r="G304" s="2">
        <f>VLOOKUP(D304,Справочник_товары,4) * (1 +VLOOKUP(D304,Справочник_товары,5))</f>
        <v>7425</v>
      </c>
      <c r="H304" s="20">
        <f>F304*G304</f>
        <v>59400</v>
      </c>
    </row>
    <row r="305" spans="3:8" ht="29" x14ac:dyDescent="0.35">
      <c r="C305" s="19">
        <v>45687</v>
      </c>
      <c r="D305" s="6">
        <v>4</v>
      </c>
      <c r="E305" s="2" t="str">
        <f>VLOOKUP(D305,Справочник_товары,2)</f>
        <v>Кроссовки дл бега Reebok Floatride</v>
      </c>
      <c r="F305" s="6">
        <v>6</v>
      </c>
      <c r="G305" s="2">
        <f>VLOOKUP(D305,Справочник_товары,4) * (1 +VLOOKUP(D305,Справочник_товары,5))</f>
        <v>10385</v>
      </c>
      <c r="H305" s="20">
        <f>F305*G305</f>
        <v>62310</v>
      </c>
    </row>
    <row r="306" spans="3:8" ht="29" x14ac:dyDescent="0.35">
      <c r="C306" s="19">
        <v>45687</v>
      </c>
      <c r="D306" s="6">
        <v>4</v>
      </c>
      <c r="E306" s="2" t="str">
        <f>VLOOKUP(D306,Справочник_товары,2)</f>
        <v>Кроссовки дл бега Reebok Floatride</v>
      </c>
      <c r="F306" s="6">
        <v>6</v>
      </c>
      <c r="G306" s="2">
        <f>VLOOKUP(D306,Справочник_товары,4) * (1 +VLOOKUP(D306,Справочник_товары,5))</f>
        <v>10385</v>
      </c>
      <c r="H306" s="20">
        <f>F306*G306</f>
        <v>62310</v>
      </c>
    </row>
    <row r="307" spans="3:8" ht="29" x14ac:dyDescent="0.35">
      <c r="C307" s="19">
        <v>45687</v>
      </c>
      <c r="D307" s="6">
        <v>2</v>
      </c>
      <c r="E307" s="2" t="str">
        <f>VLOOKUP(D307,Справочник_товары,2)</f>
        <v>Кроссовки женские Adidas Ultraboost</v>
      </c>
      <c r="F307" s="6">
        <v>5</v>
      </c>
      <c r="G307" s="2">
        <f>VLOOKUP(D307,Справочник_товары,4) * (1 +VLOOKUP(D307,Справочник_товары,5))</f>
        <v>11700</v>
      </c>
      <c r="H307" s="20">
        <f>F307*G307</f>
        <v>58500</v>
      </c>
    </row>
    <row r="308" spans="3:8" ht="29" x14ac:dyDescent="0.35">
      <c r="C308" s="19">
        <v>45687</v>
      </c>
      <c r="D308" s="6">
        <v>2</v>
      </c>
      <c r="E308" s="2" t="str">
        <f>VLOOKUP(D308,Справочник_товары,2)</f>
        <v>Кроссовки женские Adidas Ultraboost</v>
      </c>
      <c r="F308" s="6">
        <v>5</v>
      </c>
      <c r="G308" s="2">
        <f>VLOOKUP(D308,Справочник_товары,4) * (1 +VLOOKUP(D308,Справочник_товары,5))</f>
        <v>11700</v>
      </c>
      <c r="H308" s="20">
        <f>F308*G308</f>
        <v>58500</v>
      </c>
    </row>
    <row r="309" spans="3:8" ht="29" x14ac:dyDescent="0.35">
      <c r="C309" s="19">
        <v>45687</v>
      </c>
      <c r="D309" s="6">
        <v>1</v>
      </c>
      <c r="E309" s="2" t="str">
        <f>VLOOKUP(D309,Справочник_товары,2)</f>
        <v>Кроссовки мужские Nike Air Max</v>
      </c>
      <c r="F309" s="6">
        <v>3</v>
      </c>
      <c r="G309" s="2">
        <f>VLOOKUP(D309,Справочник_товары,4) * (1 +VLOOKUP(D309,Справочник_товары,5))</f>
        <v>12325</v>
      </c>
      <c r="H309" s="20">
        <f>F309*G309</f>
        <v>36975</v>
      </c>
    </row>
    <row r="310" spans="3:8" ht="29" x14ac:dyDescent="0.35">
      <c r="C310" s="19">
        <v>45687</v>
      </c>
      <c r="D310" s="6">
        <v>6</v>
      </c>
      <c r="E310" s="2" t="str">
        <f>VLOOKUP(D310,Справочник_товары,2)</f>
        <v>Кроссовки треккинговые Salomon X-Hike</v>
      </c>
      <c r="F310" s="6">
        <v>2</v>
      </c>
      <c r="G310" s="2">
        <f>VLOOKUP(D310,Справочник_товары,4) * (1 +VLOOKUP(D310,Справочник_товары,5))</f>
        <v>7559.9999999999991</v>
      </c>
      <c r="H310" s="20">
        <f>F310*G310</f>
        <v>15119.999999999998</v>
      </c>
    </row>
    <row r="312" spans="3:8" ht="24" customHeight="1" x14ac:dyDescent="0.35"/>
  </sheetData>
  <sortState xmlns:xlrd2="http://schemas.microsoft.com/office/spreadsheetml/2017/richdata2" ref="C12:H310">
    <sortCondition ref="C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3</xdr:col>
                <xdr:colOff>6350</xdr:colOff>
                <xdr:row>2</xdr:row>
                <xdr:rowOff>6350</xdr:rowOff>
              </from>
              <to>
                <xdr:col>4</xdr:col>
                <xdr:colOff>355600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457200</xdr:colOff>
                <xdr:row>2</xdr:row>
                <xdr:rowOff>6350</xdr:rowOff>
              </from>
              <to>
                <xdr:col>5</xdr:col>
                <xdr:colOff>222250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946150</xdr:colOff>
                <xdr:row>7</xdr:row>
                <xdr:rowOff>146050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260350</xdr:colOff>
                <xdr:row>8</xdr:row>
                <xdr:rowOff>133350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3" t="s">
        <v>10</v>
      </c>
      <c r="D9" s="3" t="s">
        <v>6</v>
      </c>
    </row>
    <row r="10" spans="3:4" x14ac:dyDescent="0.35">
      <c r="C10" s="2">
        <v>1</v>
      </c>
      <c r="D10" s="2" t="s">
        <v>17</v>
      </c>
    </row>
    <row r="11" spans="3:4" x14ac:dyDescent="0.35">
      <c r="C11" s="2">
        <v>2</v>
      </c>
      <c r="D11" s="2" t="s">
        <v>18</v>
      </c>
    </row>
    <row r="12" spans="3:4" ht="17.149999999999999" customHeight="1" x14ac:dyDescent="0.35">
      <c r="C12" s="2">
        <v>3</v>
      </c>
      <c r="D12" s="2" t="s">
        <v>19</v>
      </c>
    </row>
    <row r="13" spans="3:4" x14ac:dyDescent="0.35">
      <c r="C13" s="2">
        <v>4</v>
      </c>
      <c r="D13" s="2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8"/>
  <sheetViews>
    <sheetView topLeftCell="A309" workbookViewId="0">
      <selection activeCell="C11" sqref="C11"/>
    </sheetView>
  </sheetViews>
  <sheetFormatPr defaultRowHeight="14.5" x14ac:dyDescent="0.35"/>
  <cols>
    <col min="3" max="3" width="16.453125" customWidth="1"/>
    <col min="4" max="4" width="13.453125" customWidth="1"/>
    <col min="5" max="5" width="16" customWidth="1"/>
    <col min="6" max="6" width="13.81640625" customWidth="1"/>
    <col min="8" max="8" width="9.1796875" customWidth="1"/>
    <col min="9" max="9" width="18.36328125" customWidth="1"/>
  </cols>
  <sheetData>
    <row r="11" spans="3:9" ht="15.5" x14ac:dyDescent="0.35">
      <c r="C11" s="28" t="s">
        <v>0</v>
      </c>
      <c r="D11" s="29" t="s">
        <v>1</v>
      </c>
      <c r="E11" s="29" t="s">
        <v>2</v>
      </c>
      <c r="F11" s="29" t="s">
        <v>3</v>
      </c>
      <c r="G11" s="29" t="s">
        <v>4</v>
      </c>
      <c r="H11" s="29" t="s">
        <v>5</v>
      </c>
      <c r="I11" s="30" t="s">
        <v>10</v>
      </c>
    </row>
    <row r="12" spans="3:9" ht="43.5" x14ac:dyDescent="0.35">
      <c r="C12" s="19">
        <v>45658</v>
      </c>
      <c r="D12" s="6">
        <v>5</v>
      </c>
      <c r="E12" s="2" t="str">
        <f t="shared" ref="E12:E75" si="0">VLOOKUP(D12,Справочник_товары,2)</f>
        <v>Кроссовки повседневные New Balance</v>
      </c>
      <c r="F12" s="6">
        <v>6</v>
      </c>
      <c r="G12" s="2">
        <f>VLOOKUP(D12,Справочник_товары,4)</f>
        <v>4500</v>
      </c>
      <c r="H12" s="2">
        <f t="shared" ref="H12:H75" si="1">F12*G12</f>
        <v>27000</v>
      </c>
      <c r="I12" s="20">
        <f t="shared" ref="I12:I75" si="2">VLOOKUP(D12,Справочник_товары,6)</f>
        <v>4</v>
      </c>
    </row>
    <row r="13" spans="3:9" ht="43.5" x14ac:dyDescent="0.35">
      <c r="C13" s="19">
        <v>45658</v>
      </c>
      <c r="D13" s="6">
        <v>6</v>
      </c>
      <c r="E13" s="2" t="str">
        <f t="shared" si="0"/>
        <v>Кроссовки треккинговые Salomon X-Hike</v>
      </c>
      <c r="F13" s="6">
        <v>3</v>
      </c>
      <c r="G13" s="2">
        <f t="shared" ref="G13:G76" si="3">VLOOKUP(D13,Справочник_товары,4) * (1 +VLOOKUP(D13,Справочник_товары,5))</f>
        <v>7559.9999999999991</v>
      </c>
      <c r="H13" s="2">
        <f t="shared" si="1"/>
        <v>22679.999999999996</v>
      </c>
      <c r="I13" s="20">
        <f t="shared" si="2"/>
        <v>4</v>
      </c>
    </row>
    <row r="14" spans="3:9" ht="43.5" x14ac:dyDescent="0.35">
      <c r="C14" s="19">
        <v>45658</v>
      </c>
      <c r="D14" s="6">
        <v>2</v>
      </c>
      <c r="E14" s="2" t="str">
        <f t="shared" si="0"/>
        <v>Кроссовки женские Adidas Ultraboost</v>
      </c>
      <c r="F14" s="6">
        <v>2</v>
      </c>
      <c r="G14" s="2">
        <f t="shared" si="3"/>
        <v>11700</v>
      </c>
      <c r="H14" s="2">
        <f t="shared" si="1"/>
        <v>23400</v>
      </c>
      <c r="I14" s="20">
        <f t="shared" si="2"/>
        <v>1</v>
      </c>
    </row>
    <row r="15" spans="3:9" ht="43.5" x14ac:dyDescent="0.35">
      <c r="C15" s="19">
        <v>45658</v>
      </c>
      <c r="D15" s="6">
        <v>6</v>
      </c>
      <c r="E15" s="2" t="str">
        <f t="shared" si="0"/>
        <v>Кроссовки треккинговые Salomon X-Hike</v>
      </c>
      <c r="F15" s="6">
        <v>2</v>
      </c>
      <c r="G15" s="2">
        <f t="shared" si="3"/>
        <v>7559.9999999999991</v>
      </c>
      <c r="H15" s="2">
        <f t="shared" si="1"/>
        <v>15119.999999999998</v>
      </c>
      <c r="I15" s="20">
        <f t="shared" si="2"/>
        <v>4</v>
      </c>
    </row>
    <row r="16" spans="3:9" ht="43.5" x14ac:dyDescent="0.35">
      <c r="C16" s="19">
        <v>45658</v>
      </c>
      <c r="D16" s="6">
        <v>1</v>
      </c>
      <c r="E16" s="2" t="str">
        <f t="shared" si="0"/>
        <v>Кроссовки мужские Nike Air Max</v>
      </c>
      <c r="F16" s="6">
        <v>8</v>
      </c>
      <c r="G16" s="2">
        <f t="shared" si="3"/>
        <v>12325</v>
      </c>
      <c r="H16" s="2">
        <f t="shared" si="1"/>
        <v>98600</v>
      </c>
      <c r="I16" s="20">
        <f t="shared" si="2"/>
        <v>1</v>
      </c>
    </row>
    <row r="17" spans="3:9" ht="43.5" x14ac:dyDescent="0.35">
      <c r="C17" s="19">
        <v>45658</v>
      </c>
      <c r="D17" s="6">
        <v>4</v>
      </c>
      <c r="E17" s="2" t="str">
        <f t="shared" si="0"/>
        <v>Кроссовки дл бега Reebok Floatride</v>
      </c>
      <c r="F17" s="6">
        <v>9</v>
      </c>
      <c r="G17" s="2">
        <f t="shared" si="3"/>
        <v>10385</v>
      </c>
      <c r="H17" s="2">
        <f t="shared" si="1"/>
        <v>93465</v>
      </c>
      <c r="I17" s="20">
        <f t="shared" si="2"/>
        <v>3</v>
      </c>
    </row>
    <row r="18" spans="3:9" ht="43.5" x14ac:dyDescent="0.35">
      <c r="C18" s="19">
        <v>45658</v>
      </c>
      <c r="D18" s="6">
        <v>5</v>
      </c>
      <c r="E18" s="2" t="str">
        <f t="shared" si="0"/>
        <v>Кроссовки повседневные New Balance</v>
      </c>
      <c r="F18" s="6">
        <v>9</v>
      </c>
      <c r="G18" s="2">
        <f t="shared" si="3"/>
        <v>7425</v>
      </c>
      <c r="H18" s="2">
        <f t="shared" si="1"/>
        <v>66825</v>
      </c>
      <c r="I18" s="20">
        <f t="shared" si="2"/>
        <v>4</v>
      </c>
    </row>
    <row r="19" spans="3:9" ht="43.5" x14ac:dyDescent="0.35">
      <c r="C19" s="19">
        <v>45658</v>
      </c>
      <c r="D19" s="6">
        <v>4</v>
      </c>
      <c r="E19" s="2" t="str">
        <f t="shared" si="0"/>
        <v>Кроссовки дл бега Reebok Floatride</v>
      </c>
      <c r="F19" s="6">
        <v>10</v>
      </c>
      <c r="G19" s="2">
        <f t="shared" si="3"/>
        <v>10385</v>
      </c>
      <c r="H19" s="2">
        <f t="shared" si="1"/>
        <v>103850</v>
      </c>
      <c r="I19" s="20">
        <f t="shared" si="2"/>
        <v>3</v>
      </c>
    </row>
    <row r="20" spans="3:9" ht="43.5" x14ac:dyDescent="0.35">
      <c r="C20" s="19">
        <v>45658</v>
      </c>
      <c r="D20" s="6">
        <v>2</v>
      </c>
      <c r="E20" s="2" t="str">
        <f t="shared" si="0"/>
        <v>Кроссовки женские Adidas Ultraboost</v>
      </c>
      <c r="F20" s="6">
        <v>1</v>
      </c>
      <c r="G20" s="2">
        <f t="shared" si="3"/>
        <v>11700</v>
      </c>
      <c r="H20" s="2">
        <f t="shared" si="1"/>
        <v>11700</v>
      </c>
      <c r="I20" s="20">
        <f t="shared" si="2"/>
        <v>1</v>
      </c>
    </row>
    <row r="21" spans="3:9" ht="43.5" x14ac:dyDescent="0.35">
      <c r="C21" s="19">
        <v>45658</v>
      </c>
      <c r="D21" s="6">
        <v>4</v>
      </c>
      <c r="E21" s="2" t="str">
        <f t="shared" si="0"/>
        <v>Кроссовки дл бега Reebok Floatride</v>
      </c>
      <c r="F21" s="6">
        <v>7</v>
      </c>
      <c r="G21" s="2">
        <f t="shared" si="3"/>
        <v>10385</v>
      </c>
      <c r="H21" s="2">
        <f t="shared" si="1"/>
        <v>72695</v>
      </c>
      <c r="I21" s="20">
        <f t="shared" si="2"/>
        <v>3</v>
      </c>
    </row>
    <row r="22" spans="3:9" ht="43.5" x14ac:dyDescent="0.35">
      <c r="C22" s="19">
        <v>45658</v>
      </c>
      <c r="D22" s="6">
        <v>2</v>
      </c>
      <c r="E22" s="2" t="str">
        <f t="shared" si="0"/>
        <v>Кроссовки женские Adidas Ultraboost</v>
      </c>
      <c r="F22" s="6">
        <v>7</v>
      </c>
      <c r="G22" s="2">
        <f t="shared" si="3"/>
        <v>11700</v>
      </c>
      <c r="H22" s="2">
        <f t="shared" si="1"/>
        <v>81900</v>
      </c>
      <c r="I22" s="20">
        <f t="shared" si="2"/>
        <v>1</v>
      </c>
    </row>
    <row r="23" spans="3:9" ht="43.5" x14ac:dyDescent="0.35">
      <c r="C23" s="19">
        <v>45659</v>
      </c>
      <c r="D23" s="6">
        <v>4</v>
      </c>
      <c r="E23" s="2" t="str">
        <f t="shared" si="0"/>
        <v>Кроссовки дл бега Reebok Floatride</v>
      </c>
      <c r="F23" s="6">
        <v>5</v>
      </c>
      <c r="G23" s="2">
        <f t="shared" si="3"/>
        <v>10385</v>
      </c>
      <c r="H23" s="2">
        <f t="shared" si="1"/>
        <v>51925</v>
      </c>
      <c r="I23" s="20">
        <f t="shared" si="2"/>
        <v>3</v>
      </c>
    </row>
    <row r="24" spans="3:9" ht="43.5" x14ac:dyDescent="0.35">
      <c r="C24" s="19">
        <v>45659</v>
      </c>
      <c r="D24" s="6">
        <v>6</v>
      </c>
      <c r="E24" s="2" t="str">
        <f t="shared" si="0"/>
        <v>Кроссовки треккинговые Salomon X-Hike</v>
      </c>
      <c r="F24" s="6">
        <v>3</v>
      </c>
      <c r="G24" s="2">
        <f t="shared" si="3"/>
        <v>7559.9999999999991</v>
      </c>
      <c r="H24" s="2">
        <f t="shared" si="1"/>
        <v>22679.999999999996</v>
      </c>
      <c r="I24" s="20">
        <f t="shared" si="2"/>
        <v>4</v>
      </c>
    </row>
    <row r="25" spans="3:9" ht="43.5" x14ac:dyDescent="0.35">
      <c r="C25" s="19">
        <v>45659</v>
      </c>
      <c r="D25" s="6">
        <v>6</v>
      </c>
      <c r="E25" s="2" t="str">
        <f t="shared" si="0"/>
        <v>Кроссовки треккинговые Salomon X-Hike</v>
      </c>
      <c r="F25" s="6">
        <v>1</v>
      </c>
      <c r="G25" s="2">
        <f t="shared" si="3"/>
        <v>7559.9999999999991</v>
      </c>
      <c r="H25" s="2">
        <f t="shared" si="1"/>
        <v>7559.9999999999991</v>
      </c>
      <c r="I25" s="20">
        <f t="shared" si="2"/>
        <v>4</v>
      </c>
    </row>
    <row r="26" spans="3:9" ht="43.5" x14ac:dyDescent="0.35">
      <c r="C26" s="19">
        <v>45659</v>
      </c>
      <c r="D26" s="6">
        <v>6</v>
      </c>
      <c r="E26" s="2" t="str">
        <f t="shared" si="0"/>
        <v>Кроссовки треккинговые Salomon X-Hike</v>
      </c>
      <c r="F26" s="6">
        <v>4</v>
      </c>
      <c r="G26" s="2">
        <f t="shared" si="3"/>
        <v>7559.9999999999991</v>
      </c>
      <c r="H26" s="2">
        <f t="shared" si="1"/>
        <v>30239.999999999996</v>
      </c>
      <c r="I26" s="20">
        <f t="shared" si="2"/>
        <v>4</v>
      </c>
    </row>
    <row r="27" spans="3:9" ht="43.5" x14ac:dyDescent="0.35">
      <c r="C27" s="19">
        <v>45659</v>
      </c>
      <c r="D27" s="6">
        <v>4</v>
      </c>
      <c r="E27" s="2" t="str">
        <f t="shared" si="0"/>
        <v>Кроссовки дл бега Reebok Floatride</v>
      </c>
      <c r="F27" s="6">
        <v>7</v>
      </c>
      <c r="G27" s="2">
        <f t="shared" si="3"/>
        <v>10385</v>
      </c>
      <c r="H27" s="2">
        <f t="shared" si="1"/>
        <v>72695</v>
      </c>
      <c r="I27" s="20">
        <f t="shared" si="2"/>
        <v>3</v>
      </c>
    </row>
    <row r="28" spans="3:9" ht="43.5" x14ac:dyDescent="0.35">
      <c r="C28" s="19">
        <v>45659</v>
      </c>
      <c r="D28" s="6">
        <v>3</v>
      </c>
      <c r="E28" s="2" t="str">
        <f t="shared" si="0"/>
        <v>Кросовки детские Puma Play</v>
      </c>
      <c r="F28" s="6">
        <v>6</v>
      </c>
      <c r="G28" s="2">
        <f t="shared" si="3"/>
        <v>5120</v>
      </c>
      <c r="H28" s="2">
        <f t="shared" si="1"/>
        <v>30720</v>
      </c>
      <c r="I28" s="20">
        <f t="shared" si="2"/>
        <v>2</v>
      </c>
    </row>
    <row r="29" spans="3:9" ht="43.5" x14ac:dyDescent="0.35">
      <c r="C29" s="19">
        <v>45659</v>
      </c>
      <c r="D29" s="6">
        <v>1</v>
      </c>
      <c r="E29" s="2" t="str">
        <f t="shared" si="0"/>
        <v>Кроссовки мужские Nike Air Max</v>
      </c>
      <c r="F29" s="6">
        <v>1</v>
      </c>
      <c r="G29" s="2">
        <f t="shared" si="3"/>
        <v>12325</v>
      </c>
      <c r="H29" s="2">
        <f t="shared" si="1"/>
        <v>12325</v>
      </c>
      <c r="I29" s="20">
        <f t="shared" si="2"/>
        <v>1</v>
      </c>
    </row>
    <row r="30" spans="3:9" ht="43.5" x14ac:dyDescent="0.35">
      <c r="C30" s="19">
        <v>45659</v>
      </c>
      <c r="D30" s="6">
        <v>4</v>
      </c>
      <c r="E30" s="2" t="str">
        <f t="shared" si="0"/>
        <v>Кроссовки дл бега Reebok Floatride</v>
      </c>
      <c r="F30" s="6">
        <v>5</v>
      </c>
      <c r="G30" s="2">
        <f t="shared" si="3"/>
        <v>10385</v>
      </c>
      <c r="H30" s="2">
        <f t="shared" si="1"/>
        <v>51925</v>
      </c>
      <c r="I30" s="20">
        <f t="shared" si="2"/>
        <v>3</v>
      </c>
    </row>
    <row r="31" spans="3:9" ht="43.5" x14ac:dyDescent="0.35">
      <c r="C31" s="19">
        <v>45659</v>
      </c>
      <c r="D31" s="6">
        <v>4</v>
      </c>
      <c r="E31" s="2" t="str">
        <f t="shared" si="0"/>
        <v>Кроссовки дл бега Reebok Floatride</v>
      </c>
      <c r="F31" s="6">
        <v>5</v>
      </c>
      <c r="G31" s="2">
        <f t="shared" si="3"/>
        <v>10385</v>
      </c>
      <c r="H31" s="2">
        <f t="shared" si="1"/>
        <v>51925</v>
      </c>
      <c r="I31" s="20">
        <f t="shared" si="2"/>
        <v>3</v>
      </c>
    </row>
    <row r="32" spans="3:9" ht="43.5" x14ac:dyDescent="0.35">
      <c r="C32" s="19">
        <v>45659</v>
      </c>
      <c r="D32" s="6">
        <v>3</v>
      </c>
      <c r="E32" s="2" t="str">
        <f t="shared" si="0"/>
        <v>Кросовки детские Puma Play</v>
      </c>
      <c r="F32" s="6">
        <v>2</v>
      </c>
      <c r="G32" s="2">
        <f t="shared" si="3"/>
        <v>5120</v>
      </c>
      <c r="H32" s="2">
        <f t="shared" si="1"/>
        <v>10240</v>
      </c>
      <c r="I32" s="20">
        <f t="shared" si="2"/>
        <v>2</v>
      </c>
    </row>
    <row r="33" spans="3:9" ht="43.5" x14ac:dyDescent="0.35">
      <c r="C33" s="19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3"/>
        <v>7559.9999999999991</v>
      </c>
      <c r="H33" s="2">
        <f t="shared" si="1"/>
        <v>7559.9999999999991</v>
      </c>
      <c r="I33" s="20">
        <f t="shared" si="2"/>
        <v>4</v>
      </c>
    </row>
    <row r="34" spans="3:9" ht="43.5" x14ac:dyDescent="0.35">
      <c r="C34" s="19">
        <v>45659</v>
      </c>
      <c r="D34" s="6">
        <v>5</v>
      </c>
      <c r="E34" s="2" t="str">
        <f t="shared" si="0"/>
        <v>Кроссовки повседневные New Balance</v>
      </c>
      <c r="F34" s="6">
        <v>1</v>
      </c>
      <c r="G34" s="2">
        <f t="shared" si="3"/>
        <v>7425</v>
      </c>
      <c r="H34" s="2">
        <f t="shared" si="1"/>
        <v>7425</v>
      </c>
      <c r="I34" s="20">
        <f t="shared" si="2"/>
        <v>4</v>
      </c>
    </row>
    <row r="35" spans="3:9" ht="43.5" x14ac:dyDescent="0.35">
      <c r="C35" s="19">
        <v>45659</v>
      </c>
      <c r="D35" s="6">
        <v>2</v>
      </c>
      <c r="E35" s="2" t="str">
        <f t="shared" si="0"/>
        <v>Кроссовки женские Adidas Ultraboost</v>
      </c>
      <c r="F35" s="6">
        <v>1</v>
      </c>
      <c r="G35" s="2">
        <f t="shared" si="3"/>
        <v>11700</v>
      </c>
      <c r="H35" s="2">
        <f t="shared" si="1"/>
        <v>11700</v>
      </c>
      <c r="I35" s="20">
        <f t="shared" si="2"/>
        <v>1</v>
      </c>
    </row>
    <row r="36" spans="3:9" ht="43.5" x14ac:dyDescent="0.35">
      <c r="C36" s="19">
        <v>45660</v>
      </c>
      <c r="D36" s="6">
        <v>5</v>
      </c>
      <c r="E36" s="2" t="str">
        <f t="shared" si="0"/>
        <v>Кроссовки повседневные New Balance</v>
      </c>
      <c r="F36" s="6">
        <v>8</v>
      </c>
      <c r="G36" s="2">
        <f t="shared" si="3"/>
        <v>7425</v>
      </c>
      <c r="H36" s="2">
        <f t="shared" si="1"/>
        <v>59400</v>
      </c>
      <c r="I36" s="20">
        <f t="shared" si="2"/>
        <v>4</v>
      </c>
    </row>
    <row r="37" spans="3:9" ht="43.5" x14ac:dyDescent="0.35">
      <c r="C37" s="19">
        <v>45660</v>
      </c>
      <c r="D37" s="6">
        <v>1</v>
      </c>
      <c r="E37" s="2" t="str">
        <f t="shared" si="0"/>
        <v>Кроссовки мужские Nike Air Max</v>
      </c>
      <c r="F37" s="6">
        <v>7</v>
      </c>
      <c r="G37" s="2">
        <f t="shared" si="3"/>
        <v>12325</v>
      </c>
      <c r="H37" s="2">
        <f t="shared" si="1"/>
        <v>86275</v>
      </c>
      <c r="I37" s="20">
        <f t="shared" si="2"/>
        <v>1</v>
      </c>
    </row>
    <row r="38" spans="3:9" ht="43.5" x14ac:dyDescent="0.35">
      <c r="C38" s="19">
        <v>45660</v>
      </c>
      <c r="D38" s="6">
        <v>6</v>
      </c>
      <c r="E38" s="2" t="str">
        <f t="shared" si="0"/>
        <v>Кроссовки треккинговые Salomon X-Hike</v>
      </c>
      <c r="F38" s="6">
        <v>6</v>
      </c>
      <c r="G38" s="2">
        <f t="shared" si="3"/>
        <v>7559.9999999999991</v>
      </c>
      <c r="H38" s="2">
        <f t="shared" si="1"/>
        <v>45359.999999999993</v>
      </c>
      <c r="I38" s="20">
        <f t="shared" si="2"/>
        <v>4</v>
      </c>
    </row>
    <row r="39" spans="3:9" ht="43.5" x14ac:dyDescent="0.35">
      <c r="C39" s="19">
        <v>45660</v>
      </c>
      <c r="D39" s="6">
        <v>2</v>
      </c>
      <c r="E39" s="2" t="str">
        <f t="shared" si="0"/>
        <v>Кроссовки женские Adidas Ultraboost</v>
      </c>
      <c r="F39" s="6">
        <v>8</v>
      </c>
      <c r="G39" s="2">
        <f t="shared" si="3"/>
        <v>11700</v>
      </c>
      <c r="H39" s="2">
        <f t="shared" si="1"/>
        <v>93600</v>
      </c>
      <c r="I39" s="20">
        <f t="shared" si="2"/>
        <v>1</v>
      </c>
    </row>
    <row r="40" spans="3:9" ht="43.5" x14ac:dyDescent="0.35">
      <c r="C40" s="19">
        <v>45660</v>
      </c>
      <c r="D40" s="6">
        <v>4</v>
      </c>
      <c r="E40" s="2" t="str">
        <f t="shared" si="0"/>
        <v>Кроссовки дл бега Reebok Floatride</v>
      </c>
      <c r="F40" s="6">
        <v>2</v>
      </c>
      <c r="G40" s="2">
        <f t="shared" si="3"/>
        <v>10385</v>
      </c>
      <c r="H40" s="2">
        <f t="shared" si="1"/>
        <v>20770</v>
      </c>
      <c r="I40" s="20">
        <f t="shared" si="2"/>
        <v>3</v>
      </c>
    </row>
    <row r="41" spans="3:9" ht="43.5" x14ac:dyDescent="0.35">
      <c r="C41" s="19">
        <v>45660</v>
      </c>
      <c r="D41" s="6">
        <v>3</v>
      </c>
      <c r="E41" s="2" t="str">
        <f t="shared" si="0"/>
        <v>Кросовки детские Puma Play</v>
      </c>
      <c r="F41" s="6">
        <v>2</v>
      </c>
      <c r="G41" s="2">
        <f t="shared" si="3"/>
        <v>5120</v>
      </c>
      <c r="H41" s="2">
        <f t="shared" si="1"/>
        <v>10240</v>
      </c>
      <c r="I41" s="20">
        <f t="shared" si="2"/>
        <v>2</v>
      </c>
    </row>
    <row r="42" spans="3:9" ht="43.5" x14ac:dyDescent="0.35">
      <c r="C42" s="19">
        <v>45660</v>
      </c>
      <c r="D42" s="6">
        <v>3</v>
      </c>
      <c r="E42" s="2" t="str">
        <f t="shared" si="0"/>
        <v>Кросовки детские Puma Play</v>
      </c>
      <c r="F42" s="6">
        <v>3</v>
      </c>
      <c r="G42" s="2">
        <f t="shared" si="3"/>
        <v>5120</v>
      </c>
      <c r="H42" s="2">
        <f t="shared" si="1"/>
        <v>15360</v>
      </c>
      <c r="I42" s="20">
        <f t="shared" si="2"/>
        <v>2</v>
      </c>
    </row>
    <row r="43" spans="3:9" ht="43.5" x14ac:dyDescent="0.35">
      <c r="C43" s="19">
        <v>45660</v>
      </c>
      <c r="D43" s="6">
        <v>4</v>
      </c>
      <c r="E43" s="2" t="str">
        <f t="shared" si="0"/>
        <v>Кроссовки дл бега Reebok Floatride</v>
      </c>
      <c r="F43" s="6">
        <v>7</v>
      </c>
      <c r="G43" s="2">
        <f t="shared" si="3"/>
        <v>10385</v>
      </c>
      <c r="H43" s="2">
        <f t="shared" si="1"/>
        <v>72695</v>
      </c>
      <c r="I43" s="20">
        <f t="shared" si="2"/>
        <v>3</v>
      </c>
    </row>
    <row r="44" spans="3:9" ht="43.5" x14ac:dyDescent="0.35">
      <c r="C44" s="19">
        <v>45660</v>
      </c>
      <c r="D44" s="6">
        <v>3</v>
      </c>
      <c r="E44" s="2" t="str">
        <f t="shared" si="0"/>
        <v>Кросовки детские Puma Play</v>
      </c>
      <c r="F44" s="6">
        <v>3</v>
      </c>
      <c r="G44" s="2">
        <f t="shared" si="3"/>
        <v>5120</v>
      </c>
      <c r="H44" s="2">
        <f t="shared" si="1"/>
        <v>15360</v>
      </c>
      <c r="I44" s="20">
        <f t="shared" si="2"/>
        <v>2</v>
      </c>
    </row>
    <row r="45" spans="3:9" ht="43.5" x14ac:dyDescent="0.35">
      <c r="C45" s="19">
        <v>45660</v>
      </c>
      <c r="D45" s="6">
        <v>1</v>
      </c>
      <c r="E45" s="2" t="str">
        <f t="shared" si="0"/>
        <v>Кроссовки мужские Nike Air Max</v>
      </c>
      <c r="F45" s="6">
        <v>7</v>
      </c>
      <c r="G45" s="2">
        <f t="shared" si="3"/>
        <v>12325</v>
      </c>
      <c r="H45" s="2">
        <f t="shared" si="1"/>
        <v>86275</v>
      </c>
      <c r="I45" s="20">
        <f t="shared" si="2"/>
        <v>1</v>
      </c>
    </row>
    <row r="46" spans="3:9" ht="43.5" x14ac:dyDescent="0.35">
      <c r="C46" s="19">
        <v>45661</v>
      </c>
      <c r="D46" s="6">
        <v>6</v>
      </c>
      <c r="E46" s="2" t="str">
        <f t="shared" si="0"/>
        <v>Кроссовки треккинговые Salomon X-Hike</v>
      </c>
      <c r="F46" s="6">
        <v>8</v>
      </c>
      <c r="G46" s="2">
        <f t="shared" si="3"/>
        <v>7559.9999999999991</v>
      </c>
      <c r="H46" s="2">
        <f t="shared" si="1"/>
        <v>60479.999999999993</v>
      </c>
      <c r="I46" s="20">
        <f t="shared" si="2"/>
        <v>4</v>
      </c>
    </row>
    <row r="47" spans="3:9" ht="43.5" x14ac:dyDescent="0.35">
      <c r="C47" s="19">
        <v>45661</v>
      </c>
      <c r="D47" s="6">
        <v>1</v>
      </c>
      <c r="E47" s="2" t="str">
        <f t="shared" si="0"/>
        <v>Кроссовки мужские Nike Air Max</v>
      </c>
      <c r="F47" s="6">
        <v>4</v>
      </c>
      <c r="G47" s="2">
        <f t="shared" si="3"/>
        <v>12325</v>
      </c>
      <c r="H47" s="2">
        <f t="shared" si="1"/>
        <v>49300</v>
      </c>
      <c r="I47" s="20">
        <f t="shared" si="2"/>
        <v>1</v>
      </c>
    </row>
    <row r="48" spans="3:9" ht="43.5" x14ac:dyDescent="0.35">
      <c r="C48" s="19">
        <v>45661</v>
      </c>
      <c r="D48" s="6">
        <v>6</v>
      </c>
      <c r="E48" s="2" t="str">
        <f t="shared" si="0"/>
        <v>Кроссовки треккинговые Salomon X-Hike</v>
      </c>
      <c r="F48" s="6">
        <v>9</v>
      </c>
      <c r="G48" s="2">
        <f t="shared" si="3"/>
        <v>7559.9999999999991</v>
      </c>
      <c r="H48" s="2">
        <f t="shared" si="1"/>
        <v>68039.999999999985</v>
      </c>
      <c r="I48" s="20">
        <f t="shared" si="2"/>
        <v>4</v>
      </c>
    </row>
    <row r="49" spans="3:9" ht="43.5" x14ac:dyDescent="0.35">
      <c r="C49" s="19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3"/>
        <v>11700</v>
      </c>
      <c r="H49" s="2">
        <f t="shared" si="1"/>
        <v>46800</v>
      </c>
      <c r="I49" s="20">
        <f t="shared" si="2"/>
        <v>1</v>
      </c>
    </row>
    <row r="50" spans="3:9" ht="43.5" x14ac:dyDescent="0.35">
      <c r="C50" s="19">
        <v>45661</v>
      </c>
      <c r="D50" s="6">
        <v>6</v>
      </c>
      <c r="E50" s="2" t="str">
        <f t="shared" si="0"/>
        <v>Кроссовки треккинговые Salomon X-Hike</v>
      </c>
      <c r="F50" s="6">
        <v>6</v>
      </c>
      <c r="G50" s="2">
        <f t="shared" si="3"/>
        <v>7559.9999999999991</v>
      </c>
      <c r="H50" s="2">
        <f t="shared" si="1"/>
        <v>45359.999999999993</v>
      </c>
      <c r="I50" s="20">
        <f t="shared" si="2"/>
        <v>4</v>
      </c>
    </row>
    <row r="51" spans="3:9" ht="43.5" x14ac:dyDescent="0.35">
      <c r="C51" s="19">
        <v>45661</v>
      </c>
      <c r="D51" s="6">
        <v>3</v>
      </c>
      <c r="E51" s="2" t="str">
        <f t="shared" si="0"/>
        <v>Кросовки детские Puma Play</v>
      </c>
      <c r="F51" s="6">
        <v>9</v>
      </c>
      <c r="G51" s="2">
        <f t="shared" si="3"/>
        <v>5120</v>
      </c>
      <c r="H51" s="2">
        <f t="shared" si="1"/>
        <v>46080</v>
      </c>
      <c r="I51" s="20">
        <f t="shared" si="2"/>
        <v>2</v>
      </c>
    </row>
    <row r="52" spans="3:9" ht="43.5" x14ac:dyDescent="0.35">
      <c r="C52" s="19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3"/>
        <v>11700</v>
      </c>
      <c r="H52" s="2">
        <f t="shared" si="1"/>
        <v>81900</v>
      </c>
      <c r="I52" s="20">
        <f t="shared" si="2"/>
        <v>1</v>
      </c>
    </row>
    <row r="53" spans="3:9" ht="43.5" x14ac:dyDescent="0.35">
      <c r="C53" s="19">
        <v>45661</v>
      </c>
      <c r="D53" s="6">
        <v>2</v>
      </c>
      <c r="E53" s="2" t="str">
        <f t="shared" si="0"/>
        <v>Кроссовки женские Adidas Ultraboost</v>
      </c>
      <c r="F53" s="6">
        <v>4</v>
      </c>
      <c r="G53" s="2">
        <f t="shared" si="3"/>
        <v>11700</v>
      </c>
      <c r="H53" s="2">
        <f t="shared" si="1"/>
        <v>46800</v>
      </c>
      <c r="I53" s="20">
        <f t="shared" si="2"/>
        <v>1</v>
      </c>
    </row>
    <row r="54" spans="3:9" ht="43.5" x14ac:dyDescent="0.35">
      <c r="C54" s="19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3"/>
        <v>12325</v>
      </c>
      <c r="H54" s="2">
        <f t="shared" si="1"/>
        <v>86275</v>
      </c>
      <c r="I54" s="20">
        <f t="shared" si="2"/>
        <v>1</v>
      </c>
    </row>
    <row r="55" spans="3:9" ht="43.5" x14ac:dyDescent="0.35">
      <c r="C55" s="19">
        <v>45661</v>
      </c>
      <c r="D55" s="6">
        <v>5</v>
      </c>
      <c r="E55" s="2" t="str">
        <f t="shared" si="0"/>
        <v>Кроссовки повседневные New Balance</v>
      </c>
      <c r="F55" s="6">
        <v>7</v>
      </c>
      <c r="G55" s="2">
        <f t="shared" si="3"/>
        <v>7425</v>
      </c>
      <c r="H55" s="2">
        <f t="shared" si="1"/>
        <v>51975</v>
      </c>
      <c r="I55" s="20">
        <f t="shared" si="2"/>
        <v>4</v>
      </c>
    </row>
    <row r="56" spans="3:9" ht="43.5" x14ac:dyDescent="0.35">
      <c r="C56" s="19">
        <v>45661</v>
      </c>
      <c r="D56" s="6">
        <v>6</v>
      </c>
      <c r="E56" s="2" t="str">
        <f t="shared" si="0"/>
        <v>Кроссовки треккинговые Salomon X-Hike</v>
      </c>
      <c r="F56" s="6">
        <v>10</v>
      </c>
      <c r="G56" s="2">
        <f t="shared" si="3"/>
        <v>7559.9999999999991</v>
      </c>
      <c r="H56" s="2">
        <f t="shared" si="1"/>
        <v>75599.999999999985</v>
      </c>
      <c r="I56" s="20">
        <f t="shared" si="2"/>
        <v>4</v>
      </c>
    </row>
    <row r="57" spans="3:9" ht="43.5" x14ac:dyDescent="0.35">
      <c r="C57" s="19">
        <v>45661</v>
      </c>
      <c r="D57" s="6">
        <v>5</v>
      </c>
      <c r="E57" s="2" t="str">
        <f t="shared" si="0"/>
        <v>Кроссовки повседневные New Balance</v>
      </c>
      <c r="F57" s="6">
        <v>3</v>
      </c>
      <c r="G57" s="2">
        <f t="shared" si="3"/>
        <v>7425</v>
      </c>
      <c r="H57" s="2">
        <f t="shared" si="1"/>
        <v>22275</v>
      </c>
      <c r="I57" s="20">
        <f t="shared" si="2"/>
        <v>4</v>
      </c>
    </row>
    <row r="58" spans="3:9" ht="43.5" x14ac:dyDescent="0.35">
      <c r="C58" s="19">
        <v>45661</v>
      </c>
      <c r="D58" s="6">
        <v>3</v>
      </c>
      <c r="E58" s="2" t="str">
        <f t="shared" si="0"/>
        <v>Кросовки детские Puma Play</v>
      </c>
      <c r="F58" s="6">
        <v>3</v>
      </c>
      <c r="G58" s="2">
        <f t="shared" si="3"/>
        <v>5120</v>
      </c>
      <c r="H58" s="2">
        <f t="shared" si="1"/>
        <v>15360</v>
      </c>
      <c r="I58" s="20">
        <f t="shared" si="2"/>
        <v>2</v>
      </c>
    </row>
    <row r="59" spans="3:9" ht="43.5" x14ac:dyDescent="0.35">
      <c r="C59" s="19">
        <v>45661</v>
      </c>
      <c r="D59" s="6">
        <v>4</v>
      </c>
      <c r="E59" s="2" t="str">
        <f t="shared" si="0"/>
        <v>Кроссовки дл бега Reebok Floatride</v>
      </c>
      <c r="F59" s="6">
        <v>7</v>
      </c>
      <c r="G59" s="2">
        <f t="shared" si="3"/>
        <v>10385</v>
      </c>
      <c r="H59" s="2">
        <f t="shared" si="1"/>
        <v>72695</v>
      </c>
      <c r="I59" s="20">
        <f t="shared" si="2"/>
        <v>3</v>
      </c>
    </row>
    <row r="60" spans="3:9" ht="43.5" x14ac:dyDescent="0.35">
      <c r="C60" s="19">
        <v>45661</v>
      </c>
      <c r="D60" s="6">
        <v>5</v>
      </c>
      <c r="E60" s="2" t="str">
        <f t="shared" si="0"/>
        <v>Кроссовки повседневные New Balance</v>
      </c>
      <c r="F60" s="6">
        <v>1</v>
      </c>
      <c r="G60" s="2">
        <f t="shared" si="3"/>
        <v>7425</v>
      </c>
      <c r="H60" s="2">
        <f t="shared" si="1"/>
        <v>7425</v>
      </c>
      <c r="I60" s="20">
        <f t="shared" si="2"/>
        <v>4</v>
      </c>
    </row>
    <row r="61" spans="3:9" ht="43.5" x14ac:dyDescent="0.35">
      <c r="C61" s="19">
        <v>45661</v>
      </c>
      <c r="D61" s="6">
        <v>2</v>
      </c>
      <c r="E61" s="2" t="str">
        <f t="shared" si="0"/>
        <v>Кроссовки женские Adidas Ultraboost</v>
      </c>
      <c r="F61" s="6">
        <v>7</v>
      </c>
      <c r="G61" s="2">
        <f t="shared" si="3"/>
        <v>11700</v>
      </c>
      <c r="H61" s="2">
        <f t="shared" si="1"/>
        <v>81900</v>
      </c>
      <c r="I61" s="20">
        <f t="shared" si="2"/>
        <v>1</v>
      </c>
    </row>
    <row r="62" spans="3:9" ht="43.5" x14ac:dyDescent="0.35">
      <c r="C62" s="19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3"/>
        <v>10385</v>
      </c>
      <c r="H62" s="2">
        <f t="shared" si="1"/>
        <v>20770</v>
      </c>
      <c r="I62" s="20">
        <f t="shared" si="2"/>
        <v>3</v>
      </c>
    </row>
    <row r="63" spans="3:9" ht="43.5" x14ac:dyDescent="0.35">
      <c r="C63" s="19">
        <v>45662</v>
      </c>
      <c r="D63" s="6">
        <v>2</v>
      </c>
      <c r="E63" s="2" t="str">
        <f t="shared" si="0"/>
        <v>Кроссовки женские Adidas Ultraboost</v>
      </c>
      <c r="F63" s="6">
        <v>5</v>
      </c>
      <c r="G63" s="2">
        <f t="shared" si="3"/>
        <v>11700</v>
      </c>
      <c r="H63" s="2">
        <f t="shared" si="1"/>
        <v>58500</v>
      </c>
      <c r="I63" s="20">
        <f t="shared" si="2"/>
        <v>1</v>
      </c>
    </row>
    <row r="64" spans="3:9" ht="43.5" x14ac:dyDescent="0.35">
      <c r="C64" s="19">
        <v>45662</v>
      </c>
      <c r="D64" s="6">
        <v>4</v>
      </c>
      <c r="E64" s="2" t="str">
        <f t="shared" si="0"/>
        <v>Кроссовки дл бега Reebok Floatride</v>
      </c>
      <c r="F64" s="6">
        <v>7</v>
      </c>
      <c r="G64" s="2">
        <f t="shared" si="3"/>
        <v>10385</v>
      </c>
      <c r="H64" s="2">
        <f t="shared" si="1"/>
        <v>72695</v>
      </c>
      <c r="I64" s="20">
        <f t="shared" si="2"/>
        <v>3</v>
      </c>
    </row>
    <row r="65" spans="3:9" ht="43.5" x14ac:dyDescent="0.35">
      <c r="C65" s="19">
        <v>45662</v>
      </c>
      <c r="D65" s="6">
        <v>1</v>
      </c>
      <c r="E65" s="2" t="str">
        <f t="shared" si="0"/>
        <v>Кроссовки мужские Nike Air Max</v>
      </c>
      <c r="F65" s="6">
        <v>1</v>
      </c>
      <c r="G65" s="2">
        <f t="shared" si="3"/>
        <v>12325</v>
      </c>
      <c r="H65" s="2">
        <f t="shared" si="1"/>
        <v>12325</v>
      </c>
      <c r="I65" s="20">
        <f t="shared" si="2"/>
        <v>1</v>
      </c>
    </row>
    <row r="66" spans="3:9" ht="43.5" x14ac:dyDescent="0.35">
      <c r="C66" s="19">
        <v>45662</v>
      </c>
      <c r="D66" s="6">
        <v>4</v>
      </c>
      <c r="E66" s="2" t="str">
        <f t="shared" si="0"/>
        <v>Кроссовки дл бега Reebok Floatride</v>
      </c>
      <c r="F66" s="6">
        <v>6</v>
      </c>
      <c r="G66" s="2">
        <f t="shared" si="3"/>
        <v>10385</v>
      </c>
      <c r="H66" s="2">
        <f t="shared" si="1"/>
        <v>62310</v>
      </c>
      <c r="I66" s="20">
        <f t="shared" si="2"/>
        <v>3</v>
      </c>
    </row>
    <row r="67" spans="3:9" ht="43.5" x14ac:dyDescent="0.35">
      <c r="C67" s="19">
        <v>45662</v>
      </c>
      <c r="D67" s="6">
        <v>5</v>
      </c>
      <c r="E67" s="2" t="str">
        <f t="shared" si="0"/>
        <v>Кроссовки повседневные New Balance</v>
      </c>
      <c r="F67" s="6">
        <v>8</v>
      </c>
      <c r="G67" s="2">
        <f t="shared" si="3"/>
        <v>7425</v>
      </c>
      <c r="H67" s="2">
        <f t="shared" si="1"/>
        <v>59400</v>
      </c>
      <c r="I67" s="20">
        <f t="shared" si="2"/>
        <v>4</v>
      </c>
    </row>
    <row r="68" spans="3:9" ht="43.5" x14ac:dyDescent="0.35">
      <c r="C68" s="19">
        <v>45662</v>
      </c>
      <c r="D68" s="6">
        <v>4</v>
      </c>
      <c r="E68" s="2" t="str">
        <f t="shared" si="0"/>
        <v>Кроссовки дл бега Reebok Floatride</v>
      </c>
      <c r="F68" s="6">
        <v>3</v>
      </c>
      <c r="G68" s="2">
        <f t="shared" si="3"/>
        <v>10385</v>
      </c>
      <c r="H68" s="2">
        <f t="shared" si="1"/>
        <v>31155</v>
      </c>
      <c r="I68" s="20">
        <f t="shared" si="2"/>
        <v>3</v>
      </c>
    </row>
    <row r="69" spans="3:9" ht="43.5" x14ac:dyDescent="0.35">
      <c r="C69" s="19">
        <v>45662</v>
      </c>
      <c r="D69" s="6">
        <v>2</v>
      </c>
      <c r="E69" s="2" t="str">
        <f t="shared" si="0"/>
        <v>Кроссовки женские Adidas Ultraboost</v>
      </c>
      <c r="F69" s="6">
        <v>3</v>
      </c>
      <c r="G69" s="2">
        <f t="shared" si="3"/>
        <v>11700</v>
      </c>
      <c r="H69" s="2">
        <f t="shared" si="1"/>
        <v>35100</v>
      </c>
      <c r="I69" s="20">
        <f t="shared" si="2"/>
        <v>1</v>
      </c>
    </row>
    <row r="70" spans="3:9" ht="43.5" x14ac:dyDescent="0.35">
      <c r="C70" s="19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3"/>
        <v>11700</v>
      </c>
      <c r="H70" s="2">
        <f t="shared" si="1"/>
        <v>70200</v>
      </c>
      <c r="I70" s="20">
        <f t="shared" si="2"/>
        <v>1</v>
      </c>
    </row>
    <row r="71" spans="3:9" ht="43.5" x14ac:dyDescent="0.35">
      <c r="C71" s="19">
        <v>45662</v>
      </c>
      <c r="D71" s="6">
        <v>1</v>
      </c>
      <c r="E71" s="2" t="str">
        <f t="shared" si="0"/>
        <v>Кроссовки мужские Nike Air Max</v>
      </c>
      <c r="F71" s="6">
        <v>7</v>
      </c>
      <c r="G71" s="2">
        <f t="shared" si="3"/>
        <v>12325</v>
      </c>
      <c r="H71" s="2">
        <f t="shared" si="1"/>
        <v>86275</v>
      </c>
      <c r="I71" s="20">
        <f t="shared" si="2"/>
        <v>1</v>
      </c>
    </row>
    <row r="72" spans="3:9" ht="43.5" x14ac:dyDescent="0.35">
      <c r="C72" s="19">
        <v>45662</v>
      </c>
      <c r="D72" s="6">
        <v>1</v>
      </c>
      <c r="E72" s="2" t="str">
        <f t="shared" si="0"/>
        <v>Кроссовки мужские Nike Air Max</v>
      </c>
      <c r="F72" s="6">
        <v>7</v>
      </c>
      <c r="G72" s="2">
        <f t="shared" si="3"/>
        <v>12325</v>
      </c>
      <c r="H72" s="2">
        <f t="shared" si="1"/>
        <v>86275</v>
      </c>
      <c r="I72" s="20">
        <f t="shared" si="2"/>
        <v>1</v>
      </c>
    </row>
    <row r="73" spans="3:9" ht="43.5" x14ac:dyDescent="0.35">
      <c r="C73" s="19">
        <v>45662</v>
      </c>
      <c r="D73" s="6">
        <v>2</v>
      </c>
      <c r="E73" s="2" t="str">
        <f t="shared" si="0"/>
        <v>Кроссовки женские Adidas Ultraboost</v>
      </c>
      <c r="F73" s="6">
        <v>8</v>
      </c>
      <c r="G73" s="2">
        <f t="shared" si="3"/>
        <v>11700</v>
      </c>
      <c r="H73" s="2">
        <f t="shared" si="1"/>
        <v>93600</v>
      </c>
      <c r="I73" s="20">
        <f t="shared" si="2"/>
        <v>1</v>
      </c>
    </row>
    <row r="74" spans="3:9" ht="43.5" x14ac:dyDescent="0.35">
      <c r="C74" s="19">
        <v>45662</v>
      </c>
      <c r="D74" s="6">
        <v>4</v>
      </c>
      <c r="E74" s="2" t="str">
        <f t="shared" si="0"/>
        <v>Кроссовки дл бега Reebok Floatride</v>
      </c>
      <c r="F74" s="6">
        <v>6</v>
      </c>
      <c r="G74" s="2">
        <f t="shared" si="3"/>
        <v>10385</v>
      </c>
      <c r="H74" s="2">
        <f t="shared" si="1"/>
        <v>62310</v>
      </c>
      <c r="I74" s="20">
        <f t="shared" si="2"/>
        <v>3</v>
      </c>
    </row>
    <row r="75" spans="3:9" ht="43.5" x14ac:dyDescent="0.35">
      <c r="C75" s="19">
        <v>45662</v>
      </c>
      <c r="D75" s="6">
        <v>2</v>
      </c>
      <c r="E75" s="2" t="str">
        <f t="shared" si="0"/>
        <v>Кроссовки женские Adidas Ultraboost</v>
      </c>
      <c r="F75" s="6">
        <v>3</v>
      </c>
      <c r="G75" s="2">
        <f t="shared" si="3"/>
        <v>11700</v>
      </c>
      <c r="H75" s="2">
        <f t="shared" si="1"/>
        <v>35100</v>
      </c>
      <c r="I75" s="20">
        <f t="shared" si="2"/>
        <v>1</v>
      </c>
    </row>
    <row r="76" spans="3:9" ht="43.5" x14ac:dyDescent="0.35">
      <c r="C76" s="19">
        <v>45663</v>
      </c>
      <c r="D76" s="6">
        <v>2</v>
      </c>
      <c r="E76" s="2" t="str">
        <f t="shared" ref="E76:E139" si="4">VLOOKUP(D76,Справочник_товары,2)</f>
        <v>Кроссовки женские Adidas Ultraboost</v>
      </c>
      <c r="F76" s="6">
        <v>4</v>
      </c>
      <c r="G76" s="2">
        <f t="shared" si="3"/>
        <v>11700</v>
      </c>
      <c r="H76" s="2">
        <f t="shared" ref="H76:H139" si="5">F76*G76</f>
        <v>46800</v>
      </c>
      <c r="I76" s="20">
        <f t="shared" ref="I76:I139" si="6">VLOOKUP(D76,Справочник_товары,6)</f>
        <v>1</v>
      </c>
    </row>
    <row r="77" spans="3:9" ht="43.5" x14ac:dyDescent="0.35">
      <c r="C77" s="19">
        <v>45663</v>
      </c>
      <c r="D77" s="6">
        <v>6</v>
      </c>
      <c r="E77" s="2" t="str">
        <f t="shared" si="4"/>
        <v>Кроссовки треккинговые Salomon X-Hike</v>
      </c>
      <c r="F77" s="6">
        <v>5</v>
      </c>
      <c r="G77" s="2">
        <f t="shared" ref="G77:G140" si="7">VLOOKUP(D77,Справочник_товары,4) * (1 +VLOOKUP(D77,Справочник_товары,5))</f>
        <v>7559.9999999999991</v>
      </c>
      <c r="H77" s="2">
        <f t="shared" si="5"/>
        <v>37799.999999999993</v>
      </c>
      <c r="I77" s="20">
        <f t="shared" si="6"/>
        <v>4</v>
      </c>
    </row>
    <row r="78" spans="3:9" ht="43.5" x14ac:dyDescent="0.35">
      <c r="C78" s="19">
        <v>45663</v>
      </c>
      <c r="D78" s="6">
        <v>5</v>
      </c>
      <c r="E78" s="2" t="str">
        <f t="shared" si="4"/>
        <v>Кроссовки повседневные New Balance</v>
      </c>
      <c r="F78" s="6">
        <v>7</v>
      </c>
      <c r="G78" s="2">
        <f t="shared" si="7"/>
        <v>7425</v>
      </c>
      <c r="H78" s="2">
        <f t="shared" si="5"/>
        <v>51975</v>
      </c>
      <c r="I78" s="20">
        <f t="shared" si="6"/>
        <v>4</v>
      </c>
    </row>
    <row r="79" spans="3:9" ht="43.5" x14ac:dyDescent="0.35">
      <c r="C79" s="19">
        <v>45663</v>
      </c>
      <c r="D79" s="6">
        <v>4</v>
      </c>
      <c r="E79" s="2" t="str">
        <f t="shared" si="4"/>
        <v>Кроссовки дл бега Reebok Floatride</v>
      </c>
      <c r="F79" s="6">
        <v>10</v>
      </c>
      <c r="G79" s="2">
        <f t="shared" si="7"/>
        <v>10385</v>
      </c>
      <c r="H79" s="2">
        <f t="shared" si="5"/>
        <v>103850</v>
      </c>
      <c r="I79" s="20">
        <f t="shared" si="6"/>
        <v>3</v>
      </c>
    </row>
    <row r="80" spans="3:9" ht="43.5" x14ac:dyDescent="0.35">
      <c r="C80" s="19">
        <v>45663</v>
      </c>
      <c r="D80" s="6">
        <v>3</v>
      </c>
      <c r="E80" s="2" t="str">
        <f t="shared" si="4"/>
        <v>Кросовки детские Puma Play</v>
      </c>
      <c r="F80" s="6">
        <v>6</v>
      </c>
      <c r="G80" s="2">
        <f t="shared" si="7"/>
        <v>5120</v>
      </c>
      <c r="H80" s="2">
        <f t="shared" si="5"/>
        <v>30720</v>
      </c>
      <c r="I80" s="20">
        <f t="shared" si="6"/>
        <v>2</v>
      </c>
    </row>
    <row r="81" spans="3:9" ht="43.5" x14ac:dyDescent="0.35">
      <c r="C81" s="19">
        <v>45663</v>
      </c>
      <c r="D81" s="6">
        <v>4</v>
      </c>
      <c r="E81" s="2" t="str">
        <f t="shared" si="4"/>
        <v>Кроссовки дл бега Reebok Floatride</v>
      </c>
      <c r="F81" s="6">
        <v>4</v>
      </c>
      <c r="G81" s="2">
        <f t="shared" si="7"/>
        <v>10385</v>
      </c>
      <c r="H81" s="2">
        <f t="shared" si="5"/>
        <v>41540</v>
      </c>
      <c r="I81" s="20">
        <f t="shared" si="6"/>
        <v>3</v>
      </c>
    </row>
    <row r="82" spans="3:9" ht="43.5" x14ac:dyDescent="0.35">
      <c r="C82" s="19">
        <v>45663</v>
      </c>
      <c r="D82" s="6">
        <v>1</v>
      </c>
      <c r="E82" s="2" t="str">
        <f t="shared" si="4"/>
        <v>Кроссовки мужские Nike Air Max</v>
      </c>
      <c r="F82" s="6">
        <v>9</v>
      </c>
      <c r="G82" s="2">
        <f t="shared" si="7"/>
        <v>12325</v>
      </c>
      <c r="H82" s="2">
        <f t="shared" si="5"/>
        <v>110925</v>
      </c>
      <c r="I82" s="20">
        <f t="shared" si="6"/>
        <v>1</v>
      </c>
    </row>
    <row r="83" spans="3:9" ht="43.5" x14ac:dyDescent="0.35">
      <c r="C83" s="19">
        <v>45663</v>
      </c>
      <c r="D83" s="6">
        <v>1</v>
      </c>
      <c r="E83" s="2" t="str">
        <f t="shared" si="4"/>
        <v>Кроссовки мужские Nike Air Max</v>
      </c>
      <c r="F83" s="6">
        <v>1</v>
      </c>
      <c r="G83" s="2">
        <f t="shared" si="7"/>
        <v>12325</v>
      </c>
      <c r="H83" s="2">
        <f t="shared" si="5"/>
        <v>12325</v>
      </c>
      <c r="I83" s="20">
        <f t="shared" si="6"/>
        <v>1</v>
      </c>
    </row>
    <row r="84" spans="3:9" ht="43.5" x14ac:dyDescent="0.35">
      <c r="C84" s="19">
        <v>45663</v>
      </c>
      <c r="D84" s="6">
        <v>1</v>
      </c>
      <c r="E84" s="2" t="str">
        <f t="shared" si="4"/>
        <v>Кроссовки мужские Nike Air Max</v>
      </c>
      <c r="F84" s="6">
        <v>7</v>
      </c>
      <c r="G84" s="2">
        <f t="shared" si="7"/>
        <v>12325</v>
      </c>
      <c r="H84" s="2">
        <f t="shared" si="5"/>
        <v>86275</v>
      </c>
      <c r="I84" s="20">
        <f t="shared" si="6"/>
        <v>1</v>
      </c>
    </row>
    <row r="85" spans="3:9" ht="43.5" x14ac:dyDescent="0.35">
      <c r="C85" s="19">
        <v>45664</v>
      </c>
      <c r="D85" s="6">
        <v>3</v>
      </c>
      <c r="E85" s="2" t="str">
        <f t="shared" si="4"/>
        <v>Кросовки детские Puma Play</v>
      </c>
      <c r="F85" s="6">
        <v>6</v>
      </c>
      <c r="G85" s="2">
        <f t="shared" si="7"/>
        <v>5120</v>
      </c>
      <c r="H85" s="2">
        <f t="shared" si="5"/>
        <v>30720</v>
      </c>
      <c r="I85" s="20">
        <f t="shared" si="6"/>
        <v>2</v>
      </c>
    </row>
    <row r="86" spans="3:9" ht="43.5" x14ac:dyDescent="0.35">
      <c r="C86" s="19">
        <v>45664</v>
      </c>
      <c r="D86" s="6">
        <v>2</v>
      </c>
      <c r="E86" s="2" t="str">
        <f t="shared" si="4"/>
        <v>Кроссовки женские Adidas Ultraboost</v>
      </c>
      <c r="F86" s="6">
        <v>10</v>
      </c>
      <c r="G86" s="2">
        <f t="shared" si="7"/>
        <v>11700</v>
      </c>
      <c r="H86" s="2">
        <f t="shared" si="5"/>
        <v>117000</v>
      </c>
      <c r="I86" s="20">
        <f t="shared" si="6"/>
        <v>1</v>
      </c>
    </row>
    <row r="87" spans="3:9" ht="43.5" x14ac:dyDescent="0.35">
      <c r="C87" s="19">
        <v>45664</v>
      </c>
      <c r="D87" s="6">
        <v>2</v>
      </c>
      <c r="E87" s="2" t="str">
        <f t="shared" si="4"/>
        <v>Кроссовки женские Adidas Ultraboost</v>
      </c>
      <c r="F87" s="6">
        <v>3</v>
      </c>
      <c r="G87" s="2">
        <f t="shared" si="7"/>
        <v>11700</v>
      </c>
      <c r="H87" s="2">
        <f t="shared" si="5"/>
        <v>35100</v>
      </c>
      <c r="I87" s="20">
        <f t="shared" si="6"/>
        <v>1</v>
      </c>
    </row>
    <row r="88" spans="3:9" ht="43.5" x14ac:dyDescent="0.35">
      <c r="C88" s="19">
        <v>45664</v>
      </c>
      <c r="D88" s="6">
        <v>5</v>
      </c>
      <c r="E88" s="2" t="str">
        <f t="shared" si="4"/>
        <v>Кроссовки повседневные New Balance</v>
      </c>
      <c r="F88" s="6">
        <v>1</v>
      </c>
      <c r="G88" s="2">
        <f t="shared" si="7"/>
        <v>7425</v>
      </c>
      <c r="H88" s="2">
        <f t="shared" si="5"/>
        <v>7425</v>
      </c>
      <c r="I88" s="20">
        <f t="shared" si="6"/>
        <v>4</v>
      </c>
    </row>
    <row r="89" spans="3:9" ht="43.5" x14ac:dyDescent="0.35">
      <c r="C89" s="19">
        <v>45664</v>
      </c>
      <c r="D89" s="6">
        <v>4</v>
      </c>
      <c r="E89" s="2" t="str">
        <f t="shared" si="4"/>
        <v>Кроссовки дл бега Reebok Floatride</v>
      </c>
      <c r="F89" s="6">
        <v>10</v>
      </c>
      <c r="G89" s="2">
        <f t="shared" si="7"/>
        <v>10385</v>
      </c>
      <c r="H89" s="2">
        <f t="shared" si="5"/>
        <v>103850</v>
      </c>
      <c r="I89" s="20">
        <f t="shared" si="6"/>
        <v>3</v>
      </c>
    </row>
    <row r="90" spans="3:9" ht="43.5" x14ac:dyDescent="0.35">
      <c r="C90" s="19">
        <v>45664</v>
      </c>
      <c r="D90" s="6">
        <v>5</v>
      </c>
      <c r="E90" s="2" t="str">
        <f t="shared" si="4"/>
        <v>Кроссовки повседневные New Balance</v>
      </c>
      <c r="F90" s="6">
        <v>2</v>
      </c>
      <c r="G90" s="2">
        <f t="shared" si="7"/>
        <v>7425</v>
      </c>
      <c r="H90" s="2">
        <f t="shared" si="5"/>
        <v>14850</v>
      </c>
      <c r="I90" s="20">
        <f t="shared" si="6"/>
        <v>4</v>
      </c>
    </row>
    <row r="91" spans="3:9" ht="43.5" x14ac:dyDescent="0.35">
      <c r="C91" s="19">
        <v>45664</v>
      </c>
      <c r="D91" s="6">
        <v>4</v>
      </c>
      <c r="E91" s="2" t="str">
        <f t="shared" si="4"/>
        <v>Кроссовки дл бега Reebok Floatride</v>
      </c>
      <c r="F91" s="6">
        <v>2</v>
      </c>
      <c r="G91" s="2">
        <f t="shared" si="7"/>
        <v>10385</v>
      </c>
      <c r="H91" s="2">
        <f t="shared" si="5"/>
        <v>20770</v>
      </c>
      <c r="I91" s="20">
        <f t="shared" si="6"/>
        <v>3</v>
      </c>
    </row>
    <row r="92" spans="3:9" ht="43.5" x14ac:dyDescent="0.35">
      <c r="C92" s="19">
        <v>45664</v>
      </c>
      <c r="D92" s="6">
        <v>6</v>
      </c>
      <c r="E92" s="2" t="str">
        <f t="shared" si="4"/>
        <v>Кроссовки треккинговые Salomon X-Hike</v>
      </c>
      <c r="F92" s="6">
        <v>4</v>
      </c>
      <c r="G92" s="2">
        <f t="shared" si="7"/>
        <v>7559.9999999999991</v>
      </c>
      <c r="H92" s="2">
        <f t="shared" si="5"/>
        <v>30239.999999999996</v>
      </c>
      <c r="I92" s="20">
        <f t="shared" si="6"/>
        <v>4</v>
      </c>
    </row>
    <row r="93" spans="3:9" ht="43.5" x14ac:dyDescent="0.35">
      <c r="C93" s="19">
        <v>45665</v>
      </c>
      <c r="D93" s="6">
        <v>4</v>
      </c>
      <c r="E93" s="2" t="str">
        <f t="shared" si="4"/>
        <v>Кроссовки дл бега Reebok Floatride</v>
      </c>
      <c r="F93" s="6">
        <v>3</v>
      </c>
      <c r="G93" s="2">
        <f t="shared" si="7"/>
        <v>10385</v>
      </c>
      <c r="H93" s="2">
        <f t="shared" si="5"/>
        <v>31155</v>
      </c>
      <c r="I93" s="20">
        <f t="shared" si="6"/>
        <v>3</v>
      </c>
    </row>
    <row r="94" spans="3:9" ht="43.5" x14ac:dyDescent="0.35">
      <c r="C94" s="19">
        <v>45665</v>
      </c>
      <c r="D94" s="6">
        <v>1</v>
      </c>
      <c r="E94" s="2" t="str">
        <f t="shared" si="4"/>
        <v>Кроссовки мужские Nike Air Max</v>
      </c>
      <c r="F94" s="6">
        <v>5</v>
      </c>
      <c r="G94" s="2">
        <f t="shared" si="7"/>
        <v>12325</v>
      </c>
      <c r="H94" s="2">
        <f t="shared" si="5"/>
        <v>61625</v>
      </c>
      <c r="I94" s="20">
        <f t="shared" si="6"/>
        <v>1</v>
      </c>
    </row>
    <row r="95" spans="3:9" ht="43.5" x14ac:dyDescent="0.35">
      <c r="C95" s="19">
        <v>45665</v>
      </c>
      <c r="D95" s="6">
        <v>2</v>
      </c>
      <c r="E95" s="2" t="str">
        <f t="shared" si="4"/>
        <v>Кроссовки женские Adidas Ultraboost</v>
      </c>
      <c r="F95" s="6">
        <v>2</v>
      </c>
      <c r="G95" s="2">
        <f t="shared" si="7"/>
        <v>11700</v>
      </c>
      <c r="H95" s="2">
        <f t="shared" si="5"/>
        <v>23400</v>
      </c>
      <c r="I95" s="20">
        <f t="shared" si="6"/>
        <v>1</v>
      </c>
    </row>
    <row r="96" spans="3:9" ht="43.5" x14ac:dyDescent="0.35">
      <c r="C96" s="19">
        <v>45665</v>
      </c>
      <c r="D96" s="6">
        <v>1</v>
      </c>
      <c r="E96" s="2" t="str">
        <f t="shared" si="4"/>
        <v>Кроссовки мужские Nike Air Max</v>
      </c>
      <c r="F96" s="6">
        <v>7</v>
      </c>
      <c r="G96" s="2">
        <f t="shared" si="7"/>
        <v>12325</v>
      </c>
      <c r="H96" s="2">
        <f t="shared" si="5"/>
        <v>86275</v>
      </c>
      <c r="I96" s="20">
        <f t="shared" si="6"/>
        <v>1</v>
      </c>
    </row>
    <row r="97" spans="3:9" ht="43.5" x14ac:dyDescent="0.35">
      <c r="C97" s="19">
        <v>45665</v>
      </c>
      <c r="D97" s="6">
        <v>1</v>
      </c>
      <c r="E97" s="2" t="str">
        <f t="shared" si="4"/>
        <v>Кроссовки мужские Nike Air Max</v>
      </c>
      <c r="F97" s="6">
        <v>7</v>
      </c>
      <c r="G97" s="2">
        <f t="shared" si="7"/>
        <v>12325</v>
      </c>
      <c r="H97" s="2">
        <f t="shared" si="5"/>
        <v>86275</v>
      </c>
      <c r="I97" s="20">
        <f t="shared" si="6"/>
        <v>1</v>
      </c>
    </row>
    <row r="98" spans="3:9" ht="43.5" x14ac:dyDescent="0.35">
      <c r="C98" s="19">
        <v>45665</v>
      </c>
      <c r="D98" s="6">
        <v>2</v>
      </c>
      <c r="E98" s="2" t="str">
        <f t="shared" si="4"/>
        <v>Кроссовки женские Adidas Ultraboost</v>
      </c>
      <c r="F98" s="6">
        <v>3</v>
      </c>
      <c r="G98" s="2">
        <f t="shared" si="7"/>
        <v>11700</v>
      </c>
      <c r="H98" s="2">
        <f t="shared" si="5"/>
        <v>35100</v>
      </c>
      <c r="I98" s="20">
        <f t="shared" si="6"/>
        <v>1</v>
      </c>
    </row>
    <row r="99" spans="3:9" ht="43.5" x14ac:dyDescent="0.35">
      <c r="C99" s="19">
        <v>45665</v>
      </c>
      <c r="D99" s="6">
        <v>6</v>
      </c>
      <c r="E99" s="2" t="str">
        <f t="shared" si="4"/>
        <v>Кроссовки треккинговые Salomon X-Hike</v>
      </c>
      <c r="F99" s="6">
        <v>3</v>
      </c>
      <c r="G99" s="2">
        <f t="shared" si="7"/>
        <v>7559.9999999999991</v>
      </c>
      <c r="H99" s="2">
        <f t="shared" si="5"/>
        <v>22679.999999999996</v>
      </c>
      <c r="I99" s="20">
        <f t="shared" si="6"/>
        <v>4</v>
      </c>
    </row>
    <row r="100" spans="3:9" ht="43.5" x14ac:dyDescent="0.35">
      <c r="C100" s="19">
        <v>45665</v>
      </c>
      <c r="D100" s="6">
        <v>3</v>
      </c>
      <c r="E100" s="2" t="str">
        <f t="shared" si="4"/>
        <v>Кросовки детские Puma Play</v>
      </c>
      <c r="F100" s="6">
        <v>5</v>
      </c>
      <c r="G100" s="2">
        <f t="shared" si="7"/>
        <v>5120</v>
      </c>
      <c r="H100" s="2">
        <f t="shared" si="5"/>
        <v>25600</v>
      </c>
      <c r="I100" s="20">
        <f t="shared" si="6"/>
        <v>2</v>
      </c>
    </row>
    <row r="101" spans="3:9" ht="43.5" x14ac:dyDescent="0.35">
      <c r="C101" s="19">
        <v>45665</v>
      </c>
      <c r="D101" s="6">
        <v>4</v>
      </c>
      <c r="E101" s="2" t="str">
        <f t="shared" si="4"/>
        <v>Кроссовки дл бега Reebok Floatride</v>
      </c>
      <c r="F101" s="6">
        <v>8</v>
      </c>
      <c r="G101" s="2">
        <f t="shared" si="7"/>
        <v>10385</v>
      </c>
      <c r="H101" s="2">
        <f t="shared" si="5"/>
        <v>83080</v>
      </c>
      <c r="I101" s="20">
        <f t="shared" si="6"/>
        <v>3</v>
      </c>
    </row>
    <row r="102" spans="3:9" ht="43.5" x14ac:dyDescent="0.35">
      <c r="C102" s="19">
        <v>45665</v>
      </c>
      <c r="D102" s="6">
        <v>6</v>
      </c>
      <c r="E102" s="2" t="str">
        <f t="shared" si="4"/>
        <v>Кроссовки треккинговые Salomon X-Hike</v>
      </c>
      <c r="F102" s="6">
        <v>9</v>
      </c>
      <c r="G102" s="2">
        <f t="shared" si="7"/>
        <v>7559.9999999999991</v>
      </c>
      <c r="H102" s="2">
        <f t="shared" si="5"/>
        <v>68039.999999999985</v>
      </c>
      <c r="I102" s="20">
        <f t="shared" si="6"/>
        <v>4</v>
      </c>
    </row>
    <row r="103" spans="3:9" ht="43.5" x14ac:dyDescent="0.35">
      <c r="C103" s="19">
        <v>45666</v>
      </c>
      <c r="D103" s="6">
        <v>2</v>
      </c>
      <c r="E103" s="2" t="str">
        <f t="shared" si="4"/>
        <v>Кроссовки женские Adidas Ultraboost</v>
      </c>
      <c r="F103" s="6">
        <v>4</v>
      </c>
      <c r="G103" s="2">
        <f t="shared" si="7"/>
        <v>11700</v>
      </c>
      <c r="H103" s="2">
        <f t="shared" si="5"/>
        <v>46800</v>
      </c>
      <c r="I103" s="20">
        <f t="shared" si="6"/>
        <v>1</v>
      </c>
    </row>
    <row r="104" spans="3:9" ht="43.5" x14ac:dyDescent="0.35">
      <c r="C104" s="19">
        <v>45666</v>
      </c>
      <c r="D104" s="6">
        <v>3</v>
      </c>
      <c r="E104" s="2" t="str">
        <f t="shared" si="4"/>
        <v>Кросовки детские Puma Play</v>
      </c>
      <c r="F104" s="6">
        <v>9</v>
      </c>
      <c r="G104" s="2">
        <f t="shared" si="7"/>
        <v>5120</v>
      </c>
      <c r="H104" s="2">
        <f t="shared" si="5"/>
        <v>46080</v>
      </c>
      <c r="I104" s="20">
        <f t="shared" si="6"/>
        <v>2</v>
      </c>
    </row>
    <row r="105" spans="3:9" ht="43.5" x14ac:dyDescent="0.35">
      <c r="C105" s="19">
        <v>45666</v>
      </c>
      <c r="D105" s="6">
        <v>5</v>
      </c>
      <c r="E105" s="2" t="str">
        <f t="shared" si="4"/>
        <v>Кроссовки повседневные New Balance</v>
      </c>
      <c r="F105" s="6">
        <v>3</v>
      </c>
      <c r="G105" s="2">
        <f t="shared" si="7"/>
        <v>7425</v>
      </c>
      <c r="H105" s="2">
        <f t="shared" si="5"/>
        <v>22275</v>
      </c>
      <c r="I105" s="20">
        <f t="shared" si="6"/>
        <v>4</v>
      </c>
    </row>
    <row r="106" spans="3:9" ht="43.5" x14ac:dyDescent="0.35">
      <c r="C106" s="19">
        <v>45666</v>
      </c>
      <c r="D106" s="6">
        <v>2</v>
      </c>
      <c r="E106" s="2" t="str">
        <f t="shared" si="4"/>
        <v>Кроссовки женские Adidas Ultraboost</v>
      </c>
      <c r="F106" s="6">
        <v>5</v>
      </c>
      <c r="G106" s="2">
        <f t="shared" si="7"/>
        <v>11700</v>
      </c>
      <c r="H106" s="2">
        <f t="shared" si="5"/>
        <v>58500</v>
      </c>
      <c r="I106" s="20">
        <f t="shared" si="6"/>
        <v>1</v>
      </c>
    </row>
    <row r="107" spans="3:9" ht="43.5" x14ac:dyDescent="0.35">
      <c r="C107" s="19">
        <v>45666</v>
      </c>
      <c r="D107" s="6">
        <v>2</v>
      </c>
      <c r="E107" s="2" t="str">
        <f t="shared" si="4"/>
        <v>Кроссовки женские Adidas Ultraboost</v>
      </c>
      <c r="F107" s="6">
        <v>6</v>
      </c>
      <c r="G107" s="2">
        <f t="shared" si="7"/>
        <v>11700</v>
      </c>
      <c r="H107" s="2">
        <f t="shared" si="5"/>
        <v>70200</v>
      </c>
      <c r="I107" s="20">
        <f t="shared" si="6"/>
        <v>1</v>
      </c>
    </row>
    <row r="108" spans="3:9" ht="43.5" x14ac:dyDescent="0.35">
      <c r="C108" s="19">
        <v>45666</v>
      </c>
      <c r="D108" s="6">
        <v>6</v>
      </c>
      <c r="E108" s="2" t="str">
        <f t="shared" si="4"/>
        <v>Кроссовки треккинговые Salomon X-Hike</v>
      </c>
      <c r="F108" s="6">
        <v>9</v>
      </c>
      <c r="G108" s="2">
        <f t="shared" si="7"/>
        <v>7559.9999999999991</v>
      </c>
      <c r="H108" s="2">
        <f t="shared" si="5"/>
        <v>68039.999999999985</v>
      </c>
      <c r="I108" s="20">
        <f t="shared" si="6"/>
        <v>4</v>
      </c>
    </row>
    <row r="109" spans="3:9" ht="43.5" x14ac:dyDescent="0.35">
      <c r="C109" s="19">
        <v>45666</v>
      </c>
      <c r="D109" s="6">
        <v>6</v>
      </c>
      <c r="E109" s="2" t="str">
        <f t="shared" si="4"/>
        <v>Кроссовки треккинговые Salomon X-Hike</v>
      </c>
      <c r="F109" s="6">
        <v>3</v>
      </c>
      <c r="G109" s="2">
        <f t="shared" si="7"/>
        <v>7559.9999999999991</v>
      </c>
      <c r="H109" s="2">
        <f t="shared" si="5"/>
        <v>22679.999999999996</v>
      </c>
      <c r="I109" s="20">
        <f t="shared" si="6"/>
        <v>4</v>
      </c>
    </row>
    <row r="110" spans="3:9" ht="43.5" x14ac:dyDescent="0.35">
      <c r="C110" s="19">
        <v>45666</v>
      </c>
      <c r="D110" s="6">
        <v>2</v>
      </c>
      <c r="E110" s="2" t="str">
        <f t="shared" si="4"/>
        <v>Кроссовки женские Adidas Ultraboost</v>
      </c>
      <c r="F110" s="6">
        <v>5</v>
      </c>
      <c r="G110" s="2">
        <f t="shared" si="7"/>
        <v>11700</v>
      </c>
      <c r="H110" s="2">
        <f t="shared" si="5"/>
        <v>58500</v>
      </c>
      <c r="I110" s="20">
        <f t="shared" si="6"/>
        <v>1</v>
      </c>
    </row>
    <row r="111" spans="3:9" ht="43.5" x14ac:dyDescent="0.35">
      <c r="C111" s="19">
        <v>45666</v>
      </c>
      <c r="D111" s="6">
        <v>1</v>
      </c>
      <c r="E111" s="2" t="str">
        <f t="shared" si="4"/>
        <v>Кроссовки мужские Nike Air Max</v>
      </c>
      <c r="F111" s="6">
        <v>10</v>
      </c>
      <c r="G111" s="2">
        <f t="shared" si="7"/>
        <v>12325</v>
      </c>
      <c r="H111" s="2">
        <f t="shared" si="5"/>
        <v>123250</v>
      </c>
      <c r="I111" s="20">
        <f t="shared" si="6"/>
        <v>1</v>
      </c>
    </row>
    <row r="112" spans="3:9" ht="43.5" x14ac:dyDescent="0.35">
      <c r="C112" s="19">
        <v>45667</v>
      </c>
      <c r="D112" s="6">
        <v>4</v>
      </c>
      <c r="E112" s="2" t="str">
        <f t="shared" si="4"/>
        <v>Кроссовки дл бега Reebok Floatride</v>
      </c>
      <c r="F112" s="6">
        <v>6</v>
      </c>
      <c r="G112" s="2">
        <f t="shared" si="7"/>
        <v>10385</v>
      </c>
      <c r="H112" s="2">
        <f t="shared" si="5"/>
        <v>62310</v>
      </c>
      <c r="I112" s="20">
        <f t="shared" si="6"/>
        <v>3</v>
      </c>
    </row>
    <row r="113" spans="3:9" ht="43.5" x14ac:dyDescent="0.35">
      <c r="C113" s="19">
        <v>45667</v>
      </c>
      <c r="D113" s="6">
        <v>1</v>
      </c>
      <c r="E113" s="2" t="str">
        <f t="shared" si="4"/>
        <v>Кроссовки мужские Nike Air Max</v>
      </c>
      <c r="F113" s="6">
        <v>10</v>
      </c>
      <c r="G113" s="2">
        <f t="shared" si="7"/>
        <v>12325</v>
      </c>
      <c r="H113" s="2">
        <f t="shared" si="5"/>
        <v>123250</v>
      </c>
      <c r="I113" s="20">
        <f t="shared" si="6"/>
        <v>1</v>
      </c>
    </row>
    <row r="114" spans="3:9" ht="43.5" x14ac:dyDescent="0.35">
      <c r="C114" s="19">
        <v>45667</v>
      </c>
      <c r="D114" s="6">
        <v>4</v>
      </c>
      <c r="E114" s="2" t="str">
        <f t="shared" si="4"/>
        <v>Кроссовки дл бега Reebok Floatride</v>
      </c>
      <c r="F114" s="6">
        <v>8</v>
      </c>
      <c r="G114" s="2">
        <f t="shared" si="7"/>
        <v>10385</v>
      </c>
      <c r="H114" s="2">
        <f t="shared" si="5"/>
        <v>83080</v>
      </c>
      <c r="I114" s="20">
        <f t="shared" si="6"/>
        <v>3</v>
      </c>
    </row>
    <row r="115" spans="3:9" ht="43.5" x14ac:dyDescent="0.35">
      <c r="C115" s="19">
        <v>45667</v>
      </c>
      <c r="D115" s="6">
        <v>1</v>
      </c>
      <c r="E115" s="2" t="str">
        <f t="shared" si="4"/>
        <v>Кроссовки мужские Nike Air Max</v>
      </c>
      <c r="F115" s="6">
        <v>9</v>
      </c>
      <c r="G115" s="2">
        <f t="shared" si="7"/>
        <v>12325</v>
      </c>
      <c r="H115" s="2">
        <f t="shared" si="5"/>
        <v>110925</v>
      </c>
      <c r="I115" s="20">
        <f t="shared" si="6"/>
        <v>1</v>
      </c>
    </row>
    <row r="116" spans="3:9" ht="43.5" x14ac:dyDescent="0.35">
      <c r="C116" s="19">
        <v>45667</v>
      </c>
      <c r="D116" s="6">
        <v>1</v>
      </c>
      <c r="E116" s="2" t="str">
        <f t="shared" si="4"/>
        <v>Кроссовки мужские Nike Air Max</v>
      </c>
      <c r="F116" s="6">
        <v>4</v>
      </c>
      <c r="G116" s="2">
        <f t="shared" si="7"/>
        <v>12325</v>
      </c>
      <c r="H116" s="2">
        <f t="shared" si="5"/>
        <v>49300</v>
      </c>
      <c r="I116" s="20">
        <f t="shared" si="6"/>
        <v>1</v>
      </c>
    </row>
    <row r="117" spans="3:9" ht="43.5" x14ac:dyDescent="0.35">
      <c r="C117" s="19">
        <v>45667</v>
      </c>
      <c r="D117" s="6">
        <v>3</v>
      </c>
      <c r="E117" s="2" t="str">
        <f t="shared" si="4"/>
        <v>Кросовки детские Puma Play</v>
      </c>
      <c r="F117" s="6">
        <v>5</v>
      </c>
      <c r="G117" s="2">
        <f t="shared" si="7"/>
        <v>5120</v>
      </c>
      <c r="H117" s="2">
        <f t="shared" si="5"/>
        <v>25600</v>
      </c>
      <c r="I117" s="20">
        <f t="shared" si="6"/>
        <v>2</v>
      </c>
    </row>
    <row r="118" spans="3:9" ht="43.5" x14ac:dyDescent="0.35">
      <c r="C118" s="19">
        <v>45667</v>
      </c>
      <c r="D118" s="6">
        <v>6</v>
      </c>
      <c r="E118" s="2" t="str">
        <f t="shared" si="4"/>
        <v>Кроссовки треккинговые Salomon X-Hike</v>
      </c>
      <c r="F118" s="6">
        <v>5</v>
      </c>
      <c r="G118" s="2">
        <f t="shared" si="7"/>
        <v>7559.9999999999991</v>
      </c>
      <c r="H118" s="2">
        <f t="shared" si="5"/>
        <v>37799.999999999993</v>
      </c>
      <c r="I118" s="20">
        <f t="shared" si="6"/>
        <v>4</v>
      </c>
    </row>
    <row r="119" spans="3:9" ht="43.5" x14ac:dyDescent="0.35">
      <c r="C119" s="19">
        <v>45667</v>
      </c>
      <c r="D119" s="6">
        <v>1</v>
      </c>
      <c r="E119" s="2" t="str">
        <f t="shared" si="4"/>
        <v>Кроссовки мужские Nike Air Max</v>
      </c>
      <c r="F119" s="6">
        <v>4</v>
      </c>
      <c r="G119" s="2">
        <f t="shared" si="7"/>
        <v>12325</v>
      </c>
      <c r="H119" s="2">
        <f t="shared" si="5"/>
        <v>49300</v>
      </c>
      <c r="I119" s="20">
        <f t="shared" si="6"/>
        <v>1</v>
      </c>
    </row>
    <row r="120" spans="3:9" ht="43.5" x14ac:dyDescent="0.35">
      <c r="C120" s="19">
        <v>45667</v>
      </c>
      <c r="D120" s="6">
        <v>5</v>
      </c>
      <c r="E120" s="2" t="str">
        <f t="shared" si="4"/>
        <v>Кроссовки повседневные New Balance</v>
      </c>
      <c r="F120" s="6">
        <v>1</v>
      </c>
      <c r="G120" s="2">
        <f t="shared" si="7"/>
        <v>7425</v>
      </c>
      <c r="H120" s="2">
        <f t="shared" si="5"/>
        <v>7425</v>
      </c>
      <c r="I120" s="20">
        <f t="shared" si="6"/>
        <v>4</v>
      </c>
    </row>
    <row r="121" spans="3:9" ht="43.5" x14ac:dyDescent="0.35">
      <c r="C121" s="19">
        <v>45667</v>
      </c>
      <c r="D121" s="6">
        <v>5</v>
      </c>
      <c r="E121" s="2" t="str">
        <f t="shared" si="4"/>
        <v>Кроссовки повседневные New Balance</v>
      </c>
      <c r="F121" s="6">
        <v>1</v>
      </c>
      <c r="G121" s="2">
        <f t="shared" si="7"/>
        <v>7425</v>
      </c>
      <c r="H121" s="2">
        <f t="shared" si="5"/>
        <v>7425</v>
      </c>
      <c r="I121" s="20">
        <f t="shared" si="6"/>
        <v>4</v>
      </c>
    </row>
    <row r="122" spans="3:9" ht="43.5" x14ac:dyDescent="0.35">
      <c r="C122" s="19">
        <v>45667</v>
      </c>
      <c r="D122" s="6">
        <v>2</v>
      </c>
      <c r="E122" s="2" t="str">
        <f t="shared" si="4"/>
        <v>Кроссовки женские Adidas Ultraboost</v>
      </c>
      <c r="F122" s="6">
        <v>3</v>
      </c>
      <c r="G122" s="2">
        <f t="shared" si="7"/>
        <v>11700</v>
      </c>
      <c r="H122" s="2">
        <f t="shared" si="5"/>
        <v>35100</v>
      </c>
      <c r="I122" s="20">
        <f t="shared" si="6"/>
        <v>1</v>
      </c>
    </row>
    <row r="123" spans="3:9" ht="43.5" x14ac:dyDescent="0.35">
      <c r="C123" s="19">
        <v>45667</v>
      </c>
      <c r="D123" s="6">
        <v>1</v>
      </c>
      <c r="E123" s="2" t="str">
        <f t="shared" si="4"/>
        <v>Кроссовки мужские Nike Air Max</v>
      </c>
      <c r="F123" s="6">
        <v>9</v>
      </c>
      <c r="G123" s="2">
        <f t="shared" si="7"/>
        <v>12325</v>
      </c>
      <c r="H123" s="2">
        <f t="shared" si="5"/>
        <v>110925</v>
      </c>
      <c r="I123" s="20">
        <f t="shared" si="6"/>
        <v>1</v>
      </c>
    </row>
    <row r="124" spans="3:9" ht="43.5" x14ac:dyDescent="0.35">
      <c r="C124" s="19">
        <v>45668</v>
      </c>
      <c r="D124" s="6">
        <v>4</v>
      </c>
      <c r="E124" s="2" t="str">
        <f t="shared" si="4"/>
        <v>Кроссовки дл бега Reebok Floatride</v>
      </c>
      <c r="F124" s="6">
        <v>1</v>
      </c>
      <c r="G124" s="2">
        <f t="shared" si="7"/>
        <v>10385</v>
      </c>
      <c r="H124" s="2">
        <f t="shared" si="5"/>
        <v>10385</v>
      </c>
      <c r="I124" s="20">
        <f t="shared" si="6"/>
        <v>3</v>
      </c>
    </row>
    <row r="125" spans="3:9" ht="43.5" x14ac:dyDescent="0.35">
      <c r="C125" s="19">
        <v>45668</v>
      </c>
      <c r="D125" s="6">
        <v>1</v>
      </c>
      <c r="E125" s="2" t="str">
        <f t="shared" si="4"/>
        <v>Кроссовки мужские Nike Air Max</v>
      </c>
      <c r="F125" s="6">
        <v>5</v>
      </c>
      <c r="G125" s="2">
        <f t="shared" si="7"/>
        <v>12325</v>
      </c>
      <c r="H125" s="2">
        <f t="shared" si="5"/>
        <v>61625</v>
      </c>
      <c r="I125" s="20">
        <f t="shared" si="6"/>
        <v>1</v>
      </c>
    </row>
    <row r="126" spans="3:9" ht="43.5" x14ac:dyDescent="0.35">
      <c r="C126" s="19">
        <v>45668</v>
      </c>
      <c r="D126" s="6">
        <v>5</v>
      </c>
      <c r="E126" s="2" t="str">
        <f t="shared" si="4"/>
        <v>Кроссовки повседневные New Balance</v>
      </c>
      <c r="F126" s="6">
        <v>7</v>
      </c>
      <c r="G126" s="2">
        <f t="shared" si="7"/>
        <v>7425</v>
      </c>
      <c r="H126" s="2">
        <f t="shared" si="5"/>
        <v>51975</v>
      </c>
      <c r="I126" s="20">
        <f t="shared" si="6"/>
        <v>4</v>
      </c>
    </row>
    <row r="127" spans="3:9" ht="43.5" x14ac:dyDescent="0.35">
      <c r="C127" s="19">
        <v>45668</v>
      </c>
      <c r="D127" s="6">
        <v>1</v>
      </c>
      <c r="E127" s="2" t="str">
        <f t="shared" si="4"/>
        <v>Кроссовки мужские Nike Air Max</v>
      </c>
      <c r="F127" s="6">
        <v>10</v>
      </c>
      <c r="G127" s="2">
        <f t="shared" si="7"/>
        <v>12325</v>
      </c>
      <c r="H127" s="2">
        <f t="shared" si="5"/>
        <v>123250</v>
      </c>
      <c r="I127" s="20">
        <f t="shared" si="6"/>
        <v>1</v>
      </c>
    </row>
    <row r="128" spans="3:9" ht="43.5" x14ac:dyDescent="0.35">
      <c r="C128" s="19">
        <v>45668</v>
      </c>
      <c r="D128" s="6">
        <v>2</v>
      </c>
      <c r="E128" s="2" t="str">
        <f t="shared" si="4"/>
        <v>Кроссовки женские Adidas Ultraboost</v>
      </c>
      <c r="F128" s="6">
        <v>9</v>
      </c>
      <c r="G128" s="2">
        <f t="shared" si="7"/>
        <v>11700</v>
      </c>
      <c r="H128" s="2">
        <f t="shared" si="5"/>
        <v>105300</v>
      </c>
      <c r="I128" s="20">
        <f t="shared" si="6"/>
        <v>1</v>
      </c>
    </row>
    <row r="129" spans="3:9" ht="43.5" x14ac:dyDescent="0.35">
      <c r="C129" s="19">
        <v>45668</v>
      </c>
      <c r="D129" s="6">
        <v>6</v>
      </c>
      <c r="E129" s="2" t="str">
        <f t="shared" si="4"/>
        <v>Кроссовки треккинговые Salomon X-Hike</v>
      </c>
      <c r="F129" s="6">
        <v>6</v>
      </c>
      <c r="G129" s="2">
        <f t="shared" si="7"/>
        <v>7559.9999999999991</v>
      </c>
      <c r="H129" s="2">
        <f t="shared" si="5"/>
        <v>45359.999999999993</v>
      </c>
      <c r="I129" s="20">
        <f t="shared" si="6"/>
        <v>4</v>
      </c>
    </row>
    <row r="130" spans="3:9" ht="43.5" x14ac:dyDescent="0.35">
      <c r="C130" s="19">
        <v>45668</v>
      </c>
      <c r="D130" s="6">
        <v>6</v>
      </c>
      <c r="E130" s="2" t="str">
        <f t="shared" si="4"/>
        <v>Кроссовки треккинговые Salomon X-Hike</v>
      </c>
      <c r="F130" s="6">
        <v>8</v>
      </c>
      <c r="G130" s="2">
        <f t="shared" si="7"/>
        <v>7559.9999999999991</v>
      </c>
      <c r="H130" s="2">
        <f t="shared" si="5"/>
        <v>60479.999999999993</v>
      </c>
      <c r="I130" s="20">
        <f t="shared" si="6"/>
        <v>4</v>
      </c>
    </row>
    <row r="131" spans="3:9" ht="43.5" x14ac:dyDescent="0.35">
      <c r="C131" s="19">
        <v>45668</v>
      </c>
      <c r="D131" s="6">
        <v>3</v>
      </c>
      <c r="E131" s="2" t="str">
        <f t="shared" si="4"/>
        <v>Кросовки детские Puma Play</v>
      </c>
      <c r="F131" s="6">
        <v>10</v>
      </c>
      <c r="G131" s="2">
        <f t="shared" si="7"/>
        <v>5120</v>
      </c>
      <c r="H131" s="2">
        <f t="shared" si="5"/>
        <v>51200</v>
      </c>
      <c r="I131" s="20">
        <f t="shared" si="6"/>
        <v>2</v>
      </c>
    </row>
    <row r="132" spans="3:9" ht="43.5" x14ac:dyDescent="0.35">
      <c r="C132" s="19">
        <v>45668</v>
      </c>
      <c r="D132" s="6">
        <v>4</v>
      </c>
      <c r="E132" s="2" t="str">
        <f t="shared" si="4"/>
        <v>Кроссовки дл бега Reebok Floatride</v>
      </c>
      <c r="F132" s="6">
        <v>1</v>
      </c>
      <c r="G132" s="2">
        <f t="shared" si="7"/>
        <v>10385</v>
      </c>
      <c r="H132" s="2">
        <f t="shared" si="5"/>
        <v>10385</v>
      </c>
      <c r="I132" s="20">
        <f t="shared" si="6"/>
        <v>3</v>
      </c>
    </row>
    <row r="133" spans="3:9" ht="43.5" x14ac:dyDescent="0.35">
      <c r="C133" s="19">
        <v>45668</v>
      </c>
      <c r="D133" s="6">
        <v>2</v>
      </c>
      <c r="E133" s="2" t="str">
        <f t="shared" si="4"/>
        <v>Кроссовки женские Adidas Ultraboost</v>
      </c>
      <c r="F133" s="6">
        <v>5</v>
      </c>
      <c r="G133" s="2">
        <f t="shared" si="7"/>
        <v>11700</v>
      </c>
      <c r="H133" s="2">
        <f t="shared" si="5"/>
        <v>58500</v>
      </c>
      <c r="I133" s="20">
        <f t="shared" si="6"/>
        <v>1</v>
      </c>
    </row>
    <row r="134" spans="3:9" ht="43.5" x14ac:dyDescent="0.35">
      <c r="C134" s="19">
        <v>45668</v>
      </c>
      <c r="D134" s="6">
        <v>3</v>
      </c>
      <c r="E134" s="2" t="str">
        <f t="shared" si="4"/>
        <v>Кросовки детские Puma Play</v>
      </c>
      <c r="F134" s="6">
        <v>7</v>
      </c>
      <c r="G134" s="2">
        <f t="shared" si="7"/>
        <v>5120</v>
      </c>
      <c r="H134" s="2">
        <f t="shared" si="5"/>
        <v>35840</v>
      </c>
      <c r="I134" s="20">
        <f t="shared" si="6"/>
        <v>2</v>
      </c>
    </row>
    <row r="135" spans="3:9" ht="43.5" x14ac:dyDescent="0.35">
      <c r="C135" s="19">
        <v>45668</v>
      </c>
      <c r="D135" s="6">
        <v>1</v>
      </c>
      <c r="E135" s="2" t="str">
        <f t="shared" si="4"/>
        <v>Кроссовки мужские Nike Air Max</v>
      </c>
      <c r="F135" s="6">
        <v>6</v>
      </c>
      <c r="G135" s="2">
        <f t="shared" si="7"/>
        <v>12325</v>
      </c>
      <c r="H135" s="2">
        <f t="shared" si="5"/>
        <v>73950</v>
      </c>
      <c r="I135" s="20">
        <f t="shared" si="6"/>
        <v>1</v>
      </c>
    </row>
    <row r="136" spans="3:9" ht="43.5" x14ac:dyDescent="0.35">
      <c r="C136" s="19">
        <v>45668</v>
      </c>
      <c r="D136" s="6">
        <v>1</v>
      </c>
      <c r="E136" s="2" t="str">
        <f t="shared" si="4"/>
        <v>Кроссовки мужские Nike Air Max</v>
      </c>
      <c r="F136" s="6">
        <v>2</v>
      </c>
      <c r="G136" s="2">
        <f t="shared" si="7"/>
        <v>12325</v>
      </c>
      <c r="H136" s="2">
        <f t="shared" si="5"/>
        <v>24650</v>
      </c>
      <c r="I136" s="20">
        <f t="shared" si="6"/>
        <v>1</v>
      </c>
    </row>
    <row r="137" spans="3:9" ht="43.5" x14ac:dyDescent="0.35">
      <c r="C137" s="19">
        <v>45668</v>
      </c>
      <c r="D137" s="6">
        <v>5</v>
      </c>
      <c r="E137" s="2" t="str">
        <f t="shared" si="4"/>
        <v>Кроссовки повседневные New Balance</v>
      </c>
      <c r="F137" s="6">
        <v>3</v>
      </c>
      <c r="G137" s="2">
        <f t="shared" si="7"/>
        <v>7425</v>
      </c>
      <c r="H137" s="2">
        <f t="shared" si="5"/>
        <v>22275</v>
      </c>
      <c r="I137" s="20">
        <f t="shared" si="6"/>
        <v>4</v>
      </c>
    </row>
    <row r="138" spans="3:9" ht="43.5" x14ac:dyDescent="0.35">
      <c r="C138" s="19">
        <v>45668</v>
      </c>
      <c r="D138" s="6">
        <v>2</v>
      </c>
      <c r="E138" s="2" t="str">
        <f t="shared" si="4"/>
        <v>Кроссовки женские Adidas Ultraboost</v>
      </c>
      <c r="F138" s="6">
        <v>1</v>
      </c>
      <c r="G138" s="2">
        <f t="shared" si="7"/>
        <v>11700</v>
      </c>
      <c r="H138" s="2">
        <f t="shared" si="5"/>
        <v>11700</v>
      </c>
      <c r="I138" s="20">
        <f t="shared" si="6"/>
        <v>1</v>
      </c>
    </row>
    <row r="139" spans="3:9" ht="43.5" x14ac:dyDescent="0.35">
      <c r="C139" s="19">
        <v>45669</v>
      </c>
      <c r="D139" s="6">
        <v>5</v>
      </c>
      <c r="E139" s="2" t="str">
        <f t="shared" si="4"/>
        <v>Кроссовки повседневные New Balance</v>
      </c>
      <c r="F139" s="6">
        <v>3</v>
      </c>
      <c r="G139" s="2">
        <f t="shared" si="7"/>
        <v>7425</v>
      </c>
      <c r="H139" s="2">
        <f t="shared" si="5"/>
        <v>22275</v>
      </c>
      <c r="I139" s="20">
        <f t="shared" si="6"/>
        <v>4</v>
      </c>
    </row>
    <row r="140" spans="3:9" ht="43.5" x14ac:dyDescent="0.35">
      <c r="C140" s="19">
        <v>45669</v>
      </c>
      <c r="D140" s="6">
        <v>4</v>
      </c>
      <c r="E140" s="2" t="str">
        <f t="shared" ref="E140:E203" si="8">VLOOKUP(D140,Справочник_товары,2)</f>
        <v>Кроссовки дл бега Reebok Floatride</v>
      </c>
      <c r="F140" s="6">
        <v>2</v>
      </c>
      <c r="G140" s="2">
        <f t="shared" si="7"/>
        <v>10385</v>
      </c>
      <c r="H140" s="2">
        <f t="shared" ref="H140:H203" si="9">F140*G140</f>
        <v>20770</v>
      </c>
      <c r="I140" s="20">
        <f t="shared" ref="I140:I203" si="10">VLOOKUP(D140,Справочник_товары,6)</f>
        <v>3</v>
      </c>
    </row>
    <row r="141" spans="3:9" ht="43.5" x14ac:dyDescent="0.35">
      <c r="C141" s="19">
        <v>45669</v>
      </c>
      <c r="D141" s="6">
        <v>1</v>
      </c>
      <c r="E141" s="2" t="str">
        <f t="shared" si="8"/>
        <v>Кроссовки мужские Nike Air Max</v>
      </c>
      <c r="F141" s="6">
        <v>9</v>
      </c>
      <c r="G141" s="2">
        <f t="shared" ref="G141:G204" si="11">VLOOKUP(D141,Справочник_товары,4) * (1 +VLOOKUP(D141,Справочник_товары,5))</f>
        <v>12325</v>
      </c>
      <c r="H141" s="2">
        <f t="shared" si="9"/>
        <v>110925</v>
      </c>
      <c r="I141" s="20">
        <f t="shared" si="10"/>
        <v>1</v>
      </c>
    </row>
    <row r="142" spans="3:9" ht="43.5" x14ac:dyDescent="0.35">
      <c r="C142" s="19">
        <v>45669</v>
      </c>
      <c r="D142" s="6">
        <v>6</v>
      </c>
      <c r="E142" s="2" t="str">
        <f t="shared" si="8"/>
        <v>Кроссовки треккинговые Salomon X-Hike</v>
      </c>
      <c r="F142" s="6">
        <v>8</v>
      </c>
      <c r="G142" s="2">
        <f t="shared" si="11"/>
        <v>7559.9999999999991</v>
      </c>
      <c r="H142" s="2">
        <f t="shared" si="9"/>
        <v>60479.999999999993</v>
      </c>
      <c r="I142" s="20">
        <f t="shared" si="10"/>
        <v>4</v>
      </c>
    </row>
    <row r="143" spans="3:9" ht="43.5" x14ac:dyDescent="0.35">
      <c r="C143" s="19">
        <v>45669</v>
      </c>
      <c r="D143" s="6">
        <v>6</v>
      </c>
      <c r="E143" s="2" t="str">
        <f t="shared" si="8"/>
        <v>Кроссовки треккинговые Salomon X-Hike</v>
      </c>
      <c r="F143" s="6">
        <v>9</v>
      </c>
      <c r="G143" s="2">
        <f t="shared" si="11"/>
        <v>7559.9999999999991</v>
      </c>
      <c r="H143" s="2">
        <f t="shared" si="9"/>
        <v>68039.999999999985</v>
      </c>
      <c r="I143" s="20">
        <f t="shared" si="10"/>
        <v>4</v>
      </c>
    </row>
    <row r="144" spans="3:9" ht="43.5" x14ac:dyDescent="0.35">
      <c r="C144" s="19">
        <v>45669</v>
      </c>
      <c r="D144" s="6">
        <v>4</v>
      </c>
      <c r="E144" s="2" t="str">
        <f t="shared" si="8"/>
        <v>Кроссовки дл бега Reebok Floatride</v>
      </c>
      <c r="F144" s="6">
        <v>10</v>
      </c>
      <c r="G144" s="2">
        <f t="shared" si="11"/>
        <v>10385</v>
      </c>
      <c r="H144" s="2">
        <f t="shared" si="9"/>
        <v>103850</v>
      </c>
      <c r="I144" s="20">
        <f t="shared" si="10"/>
        <v>3</v>
      </c>
    </row>
    <row r="145" spans="3:9" ht="43.5" x14ac:dyDescent="0.35">
      <c r="C145" s="19">
        <v>45669</v>
      </c>
      <c r="D145" s="6">
        <v>4</v>
      </c>
      <c r="E145" s="2" t="str">
        <f t="shared" si="8"/>
        <v>Кроссовки дл бега Reebok Floatride</v>
      </c>
      <c r="F145" s="6">
        <v>10</v>
      </c>
      <c r="G145" s="2">
        <f t="shared" si="11"/>
        <v>10385</v>
      </c>
      <c r="H145" s="2">
        <f t="shared" si="9"/>
        <v>103850</v>
      </c>
      <c r="I145" s="20">
        <f t="shared" si="10"/>
        <v>3</v>
      </c>
    </row>
    <row r="146" spans="3:9" ht="43.5" x14ac:dyDescent="0.35">
      <c r="C146" s="19">
        <v>45669</v>
      </c>
      <c r="D146" s="6">
        <v>2</v>
      </c>
      <c r="E146" s="2" t="str">
        <f t="shared" si="8"/>
        <v>Кроссовки женские Adidas Ultraboost</v>
      </c>
      <c r="F146" s="6">
        <v>10</v>
      </c>
      <c r="G146" s="2">
        <f t="shared" si="11"/>
        <v>11700</v>
      </c>
      <c r="H146" s="2">
        <f t="shared" si="9"/>
        <v>117000</v>
      </c>
      <c r="I146" s="20">
        <f t="shared" si="10"/>
        <v>1</v>
      </c>
    </row>
    <row r="147" spans="3:9" ht="43.5" x14ac:dyDescent="0.35">
      <c r="C147" s="19">
        <v>45670</v>
      </c>
      <c r="D147" s="6">
        <v>5</v>
      </c>
      <c r="E147" s="2" t="str">
        <f t="shared" si="8"/>
        <v>Кроссовки повседневные New Balance</v>
      </c>
      <c r="F147" s="6">
        <v>9</v>
      </c>
      <c r="G147" s="2">
        <f t="shared" si="11"/>
        <v>7425</v>
      </c>
      <c r="H147" s="2">
        <f t="shared" si="9"/>
        <v>66825</v>
      </c>
      <c r="I147" s="20">
        <f t="shared" si="10"/>
        <v>4</v>
      </c>
    </row>
    <row r="148" spans="3:9" ht="43.5" x14ac:dyDescent="0.35">
      <c r="C148" s="19">
        <v>45670</v>
      </c>
      <c r="D148" s="6">
        <v>3</v>
      </c>
      <c r="E148" s="2" t="str">
        <f t="shared" si="8"/>
        <v>Кросовки детские Puma Play</v>
      </c>
      <c r="F148" s="6">
        <v>10</v>
      </c>
      <c r="G148" s="2">
        <f t="shared" si="11"/>
        <v>5120</v>
      </c>
      <c r="H148" s="2">
        <f t="shared" si="9"/>
        <v>51200</v>
      </c>
      <c r="I148" s="20">
        <f t="shared" si="10"/>
        <v>2</v>
      </c>
    </row>
    <row r="149" spans="3:9" ht="43.5" x14ac:dyDescent="0.35">
      <c r="C149" s="19">
        <v>45670</v>
      </c>
      <c r="D149" s="6">
        <v>3</v>
      </c>
      <c r="E149" s="2" t="str">
        <f t="shared" si="8"/>
        <v>Кросовки детские Puma Play</v>
      </c>
      <c r="F149" s="6">
        <v>6</v>
      </c>
      <c r="G149" s="2">
        <f t="shared" si="11"/>
        <v>5120</v>
      </c>
      <c r="H149" s="2">
        <f t="shared" si="9"/>
        <v>30720</v>
      </c>
      <c r="I149" s="20">
        <f t="shared" si="10"/>
        <v>2</v>
      </c>
    </row>
    <row r="150" spans="3:9" ht="43.5" x14ac:dyDescent="0.35">
      <c r="C150" s="19">
        <v>45670</v>
      </c>
      <c r="D150" s="6">
        <v>6</v>
      </c>
      <c r="E150" s="2" t="str">
        <f t="shared" si="8"/>
        <v>Кроссовки треккинговые Salomon X-Hike</v>
      </c>
      <c r="F150" s="6">
        <v>3</v>
      </c>
      <c r="G150" s="2">
        <f t="shared" si="11"/>
        <v>7559.9999999999991</v>
      </c>
      <c r="H150" s="2">
        <f t="shared" si="9"/>
        <v>22679.999999999996</v>
      </c>
      <c r="I150" s="20">
        <f t="shared" si="10"/>
        <v>4</v>
      </c>
    </row>
    <row r="151" spans="3:9" ht="43.5" x14ac:dyDescent="0.35">
      <c r="C151" s="19">
        <v>45670</v>
      </c>
      <c r="D151" s="6">
        <v>6</v>
      </c>
      <c r="E151" s="2" t="str">
        <f t="shared" si="8"/>
        <v>Кроссовки треккинговые Salomon X-Hike</v>
      </c>
      <c r="F151" s="6">
        <v>10</v>
      </c>
      <c r="G151" s="2">
        <f t="shared" si="11"/>
        <v>7559.9999999999991</v>
      </c>
      <c r="H151" s="2">
        <f t="shared" si="9"/>
        <v>75599.999999999985</v>
      </c>
      <c r="I151" s="20">
        <f t="shared" si="10"/>
        <v>4</v>
      </c>
    </row>
    <row r="152" spans="3:9" ht="43.5" x14ac:dyDescent="0.35">
      <c r="C152" s="19">
        <v>45670</v>
      </c>
      <c r="D152" s="6">
        <v>1</v>
      </c>
      <c r="E152" s="2" t="str">
        <f t="shared" si="8"/>
        <v>Кроссовки мужские Nike Air Max</v>
      </c>
      <c r="F152" s="6">
        <v>4</v>
      </c>
      <c r="G152" s="2">
        <f t="shared" si="11"/>
        <v>12325</v>
      </c>
      <c r="H152" s="2">
        <f t="shared" si="9"/>
        <v>49300</v>
      </c>
      <c r="I152" s="20">
        <f t="shared" si="10"/>
        <v>1</v>
      </c>
    </row>
    <row r="153" spans="3:9" ht="43.5" x14ac:dyDescent="0.35">
      <c r="C153" s="19">
        <v>45670</v>
      </c>
      <c r="D153" s="6">
        <v>3</v>
      </c>
      <c r="E153" s="2" t="str">
        <f t="shared" si="8"/>
        <v>Кросовки детские Puma Play</v>
      </c>
      <c r="F153" s="6">
        <v>2</v>
      </c>
      <c r="G153" s="2">
        <f t="shared" si="11"/>
        <v>5120</v>
      </c>
      <c r="H153" s="2">
        <f t="shared" si="9"/>
        <v>10240</v>
      </c>
      <c r="I153" s="20">
        <f t="shared" si="10"/>
        <v>2</v>
      </c>
    </row>
    <row r="154" spans="3:9" ht="43.5" x14ac:dyDescent="0.35">
      <c r="C154" s="19">
        <v>45670</v>
      </c>
      <c r="D154" s="6">
        <v>5</v>
      </c>
      <c r="E154" s="2" t="str">
        <f t="shared" si="8"/>
        <v>Кроссовки повседневные New Balance</v>
      </c>
      <c r="F154" s="6">
        <v>4</v>
      </c>
      <c r="G154" s="2">
        <f t="shared" si="11"/>
        <v>7425</v>
      </c>
      <c r="H154" s="2">
        <f t="shared" si="9"/>
        <v>29700</v>
      </c>
      <c r="I154" s="20">
        <f t="shared" si="10"/>
        <v>4</v>
      </c>
    </row>
    <row r="155" spans="3:9" ht="43.5" x14ac:dyDescent="0.35">
      <c r="C155" s="19">
        <v>45670</v>
      </c>
      <c r="D155" s="6">
        <v>3</v>
      </c>
      <c r="E155" s="2" t="str">
        <f t="shared" si="8"/>
        <v>Кросовки детские Puma Play</v>
      </c>
      <c r="F155" s="6">
        <v>5</v>
      </c>
      <c r="G155" s="2">
        <f t="shared" si="11"/>
        <v>5120</v>
      </c>
      <c r="H155" s="2">
        <f t="shared" si="9"/>
        <v>25600</v>
      </c>
      <c r="I155" s="20">
        <f t="shared" si="10"/>
        <v>2</v>
      </c>
    </row>
    <row r="156" spans="3:9" ht="43.5" x14ac:dyDescent="0.35">
      <c r="C156" s="19">
        <v>45670</v>
      </c>
      <c r="D156" s="6">
        <v>3</v>
      </c>
      <c r="E156" s="2" t="str">
        <f t="shared" si="8"/>
        <v>Кросовки детские Puma Play</v>
      </c>
      <c r="F156" s="6">
        <v>9</v>
      </c>
      <c r="G156" s="2">
        <f t="shared" si="11"/>
        <v>5120</v>
      </c>
      <c r="H156" s="2">
        <f t="shared" si="9"/>
        <v>46080</v>
      </c>
      <c r="I156" s="20">
        <f t="shared" si="10"/>
        <v>2</v>
      </c>
    </row>
    <row r="157" spans="3:9" ht="43.5" x14ac:dyDescent="0.35">
      <c r="C157" s="19">
        <v>45670</v>
      </c>
      <c r="D157" s="6">
        <v>5</v>
      </c>
      <c r="E157" s="2" t="str">
        <f t="shared" si="8"/>
        <v>Кроссовки повседневные New Balance</v>
      </c>
      <c r="F157" s="6">
        <v>10</v>
      </c>
      <c r="G157" s="2">
        <f t="shared" si="11"/>
        <v>7425</v>
      </c>
      <c r="H157" s="2">
        <f t="shared" si="9"/>
        <v>74250</v>
      </c>
      <c r="I157" s="20">
        <f t="shared" si="10"/>
        <v>4</v>
      </c>
    </row>
    <row r="158" spans="3:9" ht="43.5" x14ac:dyDescent="0.35">
      <c r="C158" s="19">
        <v>45671</v>
      </c>
      <c r="D158" s="6">
        <v>1</v>
      </c>
      <c r="E158" s="2" t="str">
        <f t="shared" si="8"/>
        <v>Кроссовки мужские Nike Air Max</v>
      </c>
      <c r="F158" s="6">
        <v>2</v>
      </c>
      <c r="G158" s="2">
        <f t="shared" si="11"/>
        <v>12325</v>
      </c>
      <c r="H158" s="2">
        <f t="shared" si="9"/>
        <v>24650</v>
      </c>
      <c r="I158" s="20">
        <f t="shared" si="10"/>
        <v>1</v>
      </c>
    </row>
    <row r="159" spans="3:9" ht="43.5" x14ac:dyDescent="0.35">
      <c r="C159" s="19">
        <v>45671</v>
      </c>
      <c r="D159" s="6">
        <v>4</v>
      </c>
      <c r="E159" s="2" t="str">
        <f t="shared" si="8"/>
        <v>Кроссовки дл бега Reebok Floatride</v>
      </c>
      <c r="F159" s="6">
        <v>8</v>
      </c>
      <c r="G159" s="2">
        <f t="shared" si="11"/>
        <v>10385</v>
      </c>
      <c r="H159" s="2">
        <f t="shared" si="9"/>
        <v>83080</v>
      </c>
      <c r="I159" s="20">
        <f t="shared" si="10"/>
        <v>3</v>
      </c>
    </row>
    <row r="160" spans="3:9" ht="43.5" x14ac:dyDescent="0.35">
      <c r="C160" s="19">
        <v>45671</v>
      </c>
      <c r="D160" s="6">
        <v>2</v>
      </c>
      <c r="E160" s="2" t="str">
        <f t="shared" si="8"/>
        <v>Кроссовки женские Adidas Ultraboost</v>
      </c>
      <c r="F160" s="6">
        <v>8</v>
      </c>
      <c r="G160" s="2">
        <f t="shared" si="11"/>
        <v>11700</v>
      </c>
      <c r="H160" s="2">
        <f t="shared" si="9"/>
        <v>93600</v>
      </c>
      <c r="I160" s="20">
        <f t="shared" si="10"/>
        <v>1</v>
      </c>
    </row>
    <row r="161" spans="3:9" ht="43.5" x14ac:dyDescent="0.35">
      <c r="C161" s="19">
        <v>45671</v>
      </c>
      <c r="D161" s="6">
        <v>2</v>
      </c>
      <c r="E161" s="2" t="str">
        <f t="shared" si="8"/>
        <v>Кроссовки женские Adidas Ultraboost</v>
      </c>
      <c r="F161" s="6">
        <v>8</v>
      </c>
      <c r="G161" s="2">
        <f t="shared" si="11"/>
        <v>11700</v>
      </c>
      <c r="H161" s="2">
        <f t="shared" si="9"/>
        <v>93600</v>
      </c>
      <c r="I161" s="20">
        <f t="shared" si="10"/>
        <v>1</v>
      </c>
    </row>
    <row r="162" spans="3:9" ht="43.5" x14ac:dyDescent="0.35">
      <c r="C162" s="19">
        <v>45671</v>
      </c>
      <c r="D162" s="6">
        <v>5</v>
      </c>
      <c r="E162" s="2" t="str">
        <f t="shared" si="8"/>
        <v>Кроссовки повседневные New Balance</v>
      </c>
      <c r="F162" s="6">
        <v>7</v>
      </c>
      <c r="G162" s="2">
        <f t="shared" si="11"/>
        <v>7425</v>
      </c>
      <c r="H162" s="2">
        <f t="shared" si="9"/>
        <v>51975</v>
      </c>
      <c r="I162" s="20">
        <f t="shared" si="10"/>
        <v>4</v>
      </c>
    </row>
    <row r="163" spans="3:9" ht="43.5" x14ac:dyDescent="0.35">
      <c r="C163" s="19">
        <v>45671</v>
      </c>
      <c r="D163" s="6">
        <v>4</v>
      </c>
      <c r="E163" s="2" t="str">
        <f t="shared" si="8"/>
        <v>Кроссовки дл бега Reebok Floatride</v>
      </c>
      <c r="F163" s="6">
        <v>3</v>
      </c>
      <c r="G163" s="2">
        <f t="shared" si="11"/>
        <v>10385</v>
      </c>
      <c r="H163" s="2">
        <f t="shared" si="9"/>
        <v>31155</v>
      </c>
      <c r="I163" s="20">
        <f t="shared" si="10"/>
        <v>3</v>
      </c>
    </row>
    <row r="164" spans="3:9" ht="43.5" x14ac:dyDescent="0.35">
      <c r="C164" s="19">
        <v>45671</v>
      </c>
      <c r="D164" s="6">
        <v>3</v>
      </c>
      <c r="E164" s="2" t="str">
        <f t="shared" si="8"/>
        <v>Кросовки детские Puma Play</v>
      </c>
      <c r="F164" s="6">
        <v>2</v>
      </c>
      <c r="G164" s="2">
        <f t="shared" si="11"/>
        <v>5120</v>
      </c>
      <c r="H164" s="2">
        <f t="shared" si="9"/>
        <v>10240</v>
      </c>
      <c r="I164" s="20">
        <f t="shared" si="10"/>
        <v>2</v>
      </c>
    </row>
    <row r="165" spans="3:9" ht="43.5" x14ac:dyDescent="0.35">
      <c r="C165" s="19">
        <v>45671</v>
      </c>
      <c r="D165" s="6">
        <v>6</v>
      </c>
      <c r="E165" s="2" t="str">
        <f t="shared" si="8"/>
        <v>Кроссовки треккинговые Salomon X-Hike</v>
      </c>
      <c r="F165" s="6">
        <v>4</v>
      </c>
      <c r="G165" s="2">
        <f t="shared" si="11"/>
        <v>7559.9999999999991</v>
      </c>
      <c r="H165" s="2">
        <f t="shared" si="9"/>
        <v>30239.999999999996</v>
      </c>
      <c r="I165" s="20">
        <f t="shared" si="10"/>
        <v>4</v>
      </c>
    </row>
    <row r="166" spans="3:9" ht="43.5" x14ac:dyDescent="0.35">
      <c r="C166" s="19">
        <v>45671</v>
      </c>
      <c r="D166" s="6">
        <v>1</v>
      </c>
      <c r="E166" s="2" t="str">
        <f t="shared" si="8"/>
        <v>Кроссовки мужские Nike Air Max</v>
      </c>
      <c r="F166" s="6">
        <v>4</v>
      </c>
      <c r="G166" s="2">
        <f t="shared" si="11"/>
        <v>12325</v>
      </c>
      <c r="H166" s="2">
        <f t="shared" si="9"/>
        <v>49300</v>
      </c>
      <c r="I166" s="20">
        <f t="shared" si="10"/>
        <v>1</v>
      </c>
    </row>
    <row r="167" spans="3:9" ht="43.5" x14ac:dyDescent="0.35">
      <c r="C167" s="19">
        <v>45671</v>
      </c>
      <c r="D167" s="6">
        <v>5</v>
      </c>
      <c r="E167" s="2" t="str">
        <f t="shared" si="8"/>
        <v>Кроссовки повседневные New Balance</v>
      </c>
      <c r="F167" s="6">
        <v>2</v>
      </c>
      <c r="G167" s="2">
        <f t="shared" si="11"/>
        <v>7425</v>
      </c>
      <c r="H167" s="2">
        <f t="shared" si="9"/>
        <v>14850</v>
      </c>
      <c r="I167" s="20">
        <f t="shared" si="10"/>
        <v>4</v>
      </c>
    </row>
    <row r="168" spans="3:9" ht="43.5" x14ac:dyDescent="0.35">
      <c r="C168" s="19">
        <v>45672</v>
      </c>
      <c r="D168" s="6">
        <v>2</v>
      </c>
      <c r="E168" s="2" t="str">
        <f t="shared" si="8"/>
        <v>Кроссовки женские Adidas Ultraboost</v>
      </c>
      <c r="F168" s="6">
        <v>9</v>
      </c>
      <c r="G168" s="2">
        <f t="shared" si="11"/>
        <v>11700</v>
      </c>
      <c r="H168" s="2">
        <f t="shared" si="9"/>
        <v>105300</v>
      </c>
      <c r="I168" s="20">
        <f t="shared" si="10"/>
        <v>1</v>
      </c>
    </row>
    <row r="169" spans="3:9" ht="43.5" x14ac:dyDescent="0.35">
      <c r="C169" s="19">
        <v>45672</v>
      </c>
      <c r="D169" s="6">
        <v>5</v>
      </c>
      <c r="E169" s="2" t="str">
        <f t="shared" si="8"/>
        <v>Кроссовки повседневные New Balance</v>
      </c>
      <c r="F169" s="6">
        <v>3</v>
      </c>
      <c r="G169" s="2">
        <f t="shared" si="11"/>
        <v>7425</v>
      </c>
      <c r="H169" s="2">
        <f t="shared" si="9"/>
        <v>22275</v>
      </c>
      <c r="I169" s="20">
        <f t="shared" si="10"/>
        <v>4</v>
      </c>
    </row>
    <row r="170" spans="3:9" ht="43.5" x14ac:dyDescent="0.35">
      <c r="C170" s="19">
        <v>45672</v>
      </c>
      <c r="D170" s="6">
        <v>4</v>
      </c>
      <c r="E170" s="2" t="str">
        <f t="shared" si="8"/>
        <v>Кроссовки дл бега Reebok Floatride</v>
      </c>
      <c r="F170" s="6">
        <v>10</v>
      </c>
      <c r="G170" s="2">
        <f t="shared" si="11"/>
        <v>10385</v>
      </c>
      <c r="H170" s="2">
        <f t="shared" si="9"/>
        <v>103850</v>
      </c>
      <c r="I170" s="20">
        <f t="shared" si="10"/>
        <v>3</v>
      </c>
    </row>
    <row r="171" spans="3:9" ht="43.5" x14ac:dyDescent="0.35">
      <c r="C171" s="19">
        <v>45672</v>
      </c>
      <c r="D171" s="6">
        <v>1</v>
      </c>
      <c r="E171" s="2" t="str">
        <f t="shared" si="8"/>
        <v>Кроссовки мужские Nike Air Max</v>
      </c>
      <c r="F171" s="6">
        <v>7</v>
      </c>
      <c r="G171" s="2">
        <f t="shared" si="11"/>
        <v>12325</v>
      </c>
      <c r="H171" s="2">
        <f t="shared" si="9"/>
        <v>86275</v>
      </c>
      <c r="I171" s="20">
        <f t="shared" si="10"/>
        <v>1</v>
      </c>
    </row>
    <row r="172" spans="3:9" ht="43.5" x14ac:dyDescent="0.35">
      <c r="C172" s="19">
        <v>45673</v>
      </c>
      <c r="D172" s="6">
        <v>2</v>
      </c>
      <c r="E172" s="2" t="str">
        <f t="shared" si="8"/>
        <v>Кроссовки женские Adidas Ultraboost</v>
      </c>
      <c r="F172" s="6">
        <v>5</v>
      </c>
      <c r="G172" s="2">
        <f t="shared" si="11"/>
        <v>11700</v>
      </c>
      <c r="H172" s="2">
        <f t="shared" si="9"/>
        <v>58500</v>
      </c>
      <c r="I172" s="20">
        <f t="shared" si="10"/>
        <v>1</v>
      </c>
    </row>
    <row r="173" spans="3:9" ht="43.5" x14ac:dyDescent="0.35">
      <c r="C173" s="19">
        <v>45673</v>
      </c>
      <c r="D173" s="6">
        <v>2</v>
      </c>
      <c r="E173" s="2" t="str">
        <f t="shared" si="8"/>
        <v>Кроссовки женские Adidas Ultraboost</v>
      </c>
      <c r="F173" s="6">
        <v>3</v>
      </c>
      <c r="G173" s="2">
        <f t="shared" si="11"/>
        <v>11700</v>
      </c>
      <c r="H173" s="2">
        <f t="shared" si="9"/>
        <v>35100</v>
      </c>
      <c r="I173" s="20">
        <f t="shared" si="10"/>
        <v>1</v>
      </c>
    </row>
    <row r="174" spans="3:9" ht="43.5" x14ac:dyDescent="0.35">
      <c r="C174" s="19">
        <v>45673</v>
      </c>
      <c r="D174" s="6">
        <v>5</v>
      </c>
      <c r="E174" s="2" t="str">
        <f t="shared" si="8"/>
        <v>Кроссовки повседневные New Balance</v>
      </c>
      <c r="F174" s="6">
        <v>1</v>
      </c>
      <c r="G174" s="2">
        <f t="shared" si="11"/>
        <v>7425</v>
      </c>
      <c r="H174" s="2">
        <f t="shared" si="9"/>
        <v>7425</v>
      </c>
      <c r="I174" s="20">
        <f t="shared" si="10"/>
        <v>4</v>
      </c>
    </row>
    <row r="175" spans="3:9" ht="43.5" x14ac:dyDescent="0.35">
      <c r="C175" s="19">
        <v>45673</v>
      </c>
      <c r="D175" s="6">
        <v>2</v>
      </c>
      <c r="E175" s="2" t="str">
        <f t="shared" si="8"/>
        <v>Кроссовки женские Adidas Ultraboost</v>
      </c>
      <c r="F175" s="6">
        <v>10</v>
      </c>
      <c r="G175" s="2">
        <f t="shared" si="11"/>
        <v>11700</v>
      </c>
      <c r="H175" s="2">
        <f t="shared" si="9"/>
        <v>117000</v>
      </c>
      <c r="I175" s="20">
        <f t="shared" si="10"/>
        <v>1</v>
      </c>
    </row>
    <row r="176" spans="3:9" ht="43.5" x14ac:dyDescent="0.35">
      <c r="C176" s="19">
        <v>45673</v>
      </c>
      <c r="D176" s="6">
        <v>3</v>
      </c>
      <c r="E176" s="2" t="str">
        <f t="shared" si="8"/>
        <v>Кросовки детские Puma Play</v>
      </c>
      <c r="F176" s="6">
        <v>1</v>
      </c>
      <c r="G176" s="2">
        <f t="shared" si="11"/>
        <v>5120</v>
      </c>
      <c r="H176" s="2">
        <f t="shared" si="9"/>
        <v>5120</v>
      </c>
      <c r="I176" s="20">
        <f t="shared" si="10"/>
        <v>2</v>
      </c>
    </row>
    <row r="177" spans="3:9" ht="43.5" x14ac:dyDescent="0.35">
      <c r="C177" s="19">
        <v>45673</v>
      </c>
      <c r="D177" s="6">
        <v>5</v>
      </c>
      <c r="E177" s="2" t="str">
        <f t="shared" si="8"/>
        <v>Кроссовки повседневные New Balance</v>
      </c>
      <c r="F177" s="6">
        <v>8</v>
      </c>
      <c r="G177" s="2">
        <f t="shared" si="11"/>
        <v>7425</v>
      </c>
      <c r="H177" s="2">
        <f t="shared" si="9"/>
        <v>59400</v>
      </c>
      <c r="I177" s="20">
        <f t="shared" si="10"/>
        <v>4</v>
      </c>
    </row>
    <row r="178" spans="3:9" ht="43.5" x14ac:dyDescent="0.35">
      <c r="C178" s="19">
        <v>45673</v>
      </c>
      <c r="D178" s="6">
        <v>4</v>
      </c>
      <c r="E178" s="2" t="str">
        <f t="shared" si="8"/>
        <v>Кроссовки дл бега Reebok Floatride</v>
      </c>
      <c r="F178" s="6">
        <v>6</v>
      </c>
      <c r="G178" s="2">
        <f t="shared" si="11"/>
        <v>10385</v>
      </c>
      <c r="H178" s="2">
        <f t="shared" si="9"/>
        <v>62310</v>
      </c>
      <c r="I178" s="20">
        <f t="shared" si="10"/>
        <v>3</v>
      </c>
    </row>
    <row r="179" spans="3:9" ht="43.5" x14ac:dyDescent="0.35">
      <c r="C179" s="19">
        <v>45673</v>
      </c>
      <c r="D179" s="6">
        <v>5</v>
      </c>
      <c r="E179" s="2" t="str">
        <f t="shared" si="8"/>
        <v>Кроссовки повседневные New Balance</v>
      </c>
      <c r="F179" s="6">
        <v>5</v>
      </c>
      <c r="G179" s="2">
        <f t="shared" si="11"/>
        <v>7425</v>
      </c>
      <c r="H179" s="2">
        <f t="shared" si="9"/>
        <v>37125</v>
      </c>
      <c r="I179" s="20">
        <f t="shared" si="10"/>
        <v>4</v>
      </c>
    </row>
    <row r="180" spans="3:9" ht="43.5" x14ac:dyDescent="0.35">
      <c r="C180" s="19">
        <v>45673</v>
      </c>
      <c r="D180" s="6">
        <v>5</v>
      </c>
      <c r="E180" s="2" t="str">
        <f t="shared" si="8"/>
        <v>Кроссовки повседневные New Balance</v>
      </c>
      <c r="F180" s="6">
        <v>5</v>
      </c>
      <c r="G180" s="2">
        <f t="shared" si="11"/>
        <v>7425</v>
      </c>
      <c r="H180" s="2">
        <f t="shared" si="9"/>
        <v>37125</v>
      </c>
      <c r="I180" s="20">
        <f t="shared" si="10"/>
        <v>4</v>
      </c>
    </row>
    <row r="181" spans="3:9" ht="43.5" x14ac:dyDescent="0.35">
      <c r="C181" s="19">
        <v>45673</v>
      </c>
      <c r="D181" s="6">
        <v>2</v>
      </c>
      <c r="E181" s="2" t="str">
        <f t="shared" si="8"/>
        <v>Кроссовки женские Adidas Ultraboost</v>
      </c>
      <c r="F181" s="6">
        <v>8</v>
      </c>
      <c r="G181" s="2">
        <f t="shared" si="11"/>
        <v>11700</v>
      </c>
      <c r="H181" s="2">
        <f t="shared" si="9"/>
        <v>93600</v>
      </c>
      <c r="I181" s="20">
        <f t="shared" si="10"/>
        <v>1</v>
      </c>
    </row>
    <row r="182" spans="3:9" ht="43.5" x14ac:dyDescent="0.35">
      <c r="C182" s="19">
        <v>45673</v>
      </c>
      <c r="D182" s="6">
        <v>1</v>
      </c>
      <c r="E182" s="2" t="str">
        <f t="shared" si="8"/>
        <v>Кроссовки мужские Nike Air Max</v>
      </c>
      <c r="F182" s="6">
        <v>9</v>
      </c>
      <c r="G182" s="2">
        <f t="shared" si="11"/>
        <v>12325</v>
      </c>
      <c r="H182" s="2">
        <f t="shared" si="9"/>
        <v>110925</v>
      </c>
      <c r="I182" s="20">
        <f t="shared" si="10"/>
        <v>1</v>
      </c>
    </row>
    <row r="183" spans="3:9" ht="43.5" x14ac:dyDescent="0.35">
      <c r="C183" s="19">
        <v>45673</v>
      </c>
      <c r="D183" s="6">
        <v>4</v>
      </c>
      <c r="E183" s="2" t="str">
        <f t="shared" si="8"/>
        <v>Кроссовки дл бега Reebok Floatride</v>
      </c>
      <c r="F183" s="6">
        <v>6</v>
      </c>
      <c r="G183" s="2">
        <f t="shared" si="11"/>
        <v>10385</v>
      </c>
      <c r="H183" s="2">
        <f t="shared" si="9"/>
        <v>62310</v>
      </c>
      <c r="I183" s="20">
        <f t="shared" si="10"/>
        <v>3</v>
      </c>
    </row>
    <row r="184" spans="3:9" ht="43.5" x14ac:dyDescent="0.35">
      <c r="C184" s="19">
        <v>45674</v>
      </c>
      <c r="D184" s="6">
        <v>4</v>
      </c>
      <c r="E184" s="2" t="str">
        <f t="shared" si="8"/>
        <v>Кроссовки дл бега Reebok Floatride</v>
      </c>
      <c r="F184" s="6">
        <v>1</v>
      </c>
      <c r="G184" s="2">
        <f t="shared" si="11"/>
        <v>10385</v>
      </c>
      <c r="H184" s="2">
        <f t="shared" si="9"/>
        <v>10385</v>
      </c>
      <c r="I184" s="20">
        <f t="shared" si="10"/>
        <v>3</v>
      </c>
    </row>
    <row r="185" spans="3:9" ht="43.5" x14ac:dyDescent="0.35">
      <c r="C185" s="19">
        <v>45674</v>
      </c>
      <c r="D185" s="6">
        <v>6</v>
      </c>
      <c r="E185" s="2" t="str">
        <f t="shared" si="8"/>
        <v>Кроссовки треккинговые Salomon X-Hike</v>
      </c>
      <c r="F185" s="6">
        <v>1</v>
      </c>
      <c r="G185" s="2">
        <f t="shared" si="11"/>
        <v>7559.9999999999991</v>
      </c>
      <c r="H185" s="2">
        <f t="shared" si="9"/>
        <v>7559.9999999999991</v>
      </c>
      <c r="I185" s="20">
        <f t="shared" si="10"/>
        <v>4</v>
      </c>
    </row>
    <row r="186" spans="3:9" ht="43.5" x14ac:dyDescent="0.35">
      <c r="C186" s="19">
        <v>45674</v>
      </c>
      <c r="D186" s="6">
        <v>1</v>
      </c>
      <c r="E186" s="2" t="str">
        <f t="shared" si="8"/>
        <v>Кроссовки мужские Nike Air Max</v>
      </c>
      <c r="F186" s="6">
        <v>8</v>
      </c>
      <c r="G186" s="2">
        <f t="shared" si="11"/>
        <v>12325</v>
      </c>
      <c r="H186" s="2">
        <f t="shared" si="9"/>
        <v>98600</v>
      </c>
      <c r="I186" s="20">
        <f t="shared" si="10"/>
        <v>1</v>
      </c>
    </row>
    <row r="187" spans="3:9" ht="43.5" x14ac:dyDescent="0.35">
      <c r="C187" s="19">
        <v>45674</v>
      </c>
      <c r="D187" s="6">
        <v>3</v>
      </c>
      <c r="E187" s="2" t="str">
        <f t="shared" si="8"/>
        <v>Кросовки детские Puma Play</v>
      </c>
      <c r="F187" s="6">
        <v>4</v>
      </c>
      <c r="G187" s="2">
        <f t="shared" si="11"/>
        <v>5120</v>
      </c>
      <c r="H187" s="2">
        <f t="shared" si="9"/>
        <v>20480</v>
      </c>
      <c r="I187" s="20">
        <f t="shared" si="10"/>
        <v>2</v>
      </c>
    </row>
    <row r="188" spans="3:9" ht="43.5" x14ac:dyDescent="0.35">
      <c r="C188" s="19">
        <v>45674</v>
      </c>
      <c r="D188" s="6">
        <v>5</v>
      </c>
      <c r="E188" s="2" t="str">
        <f t="shared" si="8"/>
        <v>Кроссовки повседневные New Balance</v>
      </c>
      <c r="F188" s="6">
        <v>4</v>
      </c>
      <c r="G188" s="2">
        <f t="shared" si="11"/>
        <v>7425</v>
      </c>
      <c r="H188" s="2">
        <f t="shared" si="9"/>
        <v>29700</v>
      </c>
      <c r="I188" s="20">
        <f t="shared" si="10"/>
        <v>4</v>
      </c>
    </row>
    <row r="189" spans="3:9" ht="43.5" x14ac:dyDescent="0.35">
      <c r="C189" s="19">
        <v>45674</v>
      </c>
      <c r="D189" s="6">
        <v>1</v>
      </c>
      <c r="E189" s="2" t="str">
        <f t="shared" si="8"/>
        <v>Кроссовки мужские Nike Air Max</v>
      </c>
      <c r="F189" s="6">
        <v>4</v>
      </c>
      <c r="G189" s="2">
        <f t="shared" si="11"/>
        <v>12325</v>
      </c>
      <c r="H189" s="2">
        <f t="shared" si="9"/>
        <v>49300</v>
      </c>
      <c r="I189" s="20">
        <f t="shared" si="10"/>
        <v>1</v>
      </c>
    </row>
    <row r="190" spans="3:9" ht="43.5" x14ac:dyDescent="0.35">
      <c r="C190" s="19">
        <v>45675</v>
      </c>
      <c r="D190" s="6">
        <v>6</v>
      </c>
      <c r="E190" s="2" t="str">
        <f t="shared" si="8"/>
        <v>Кроссовки треккинговые Salomon X-Hike</v>
      </c>
      <c r="F190" s="6">
        <v>9</v>
      </c>
      <c r="G190" s="2">
        <f t="shared" si="11"/>
        <v>7559.9999999999991</v>
      </c>
      <c r="H190" s="2">
        <f t="shared" si="9"/>
        <v>68039.999999999985</v>
      </c>
      <c r="I190" s="20">
        <f t="shared" si="10"/>
        <v>4</v>
      </c>
    </row>
    <row r="191" spans="3:9" ht="43.5" x14ac:dyDescent="0.35">
      <c r="C191" s="19">
        <v>45675</v>
      </c>
      <c r="D191" s="6">
        <v>1</v>
      </c>
      <c r="E191" s="2" t="str">
        <f t="shared" si="8"/>
        <v>Кроссовки мужские Nike Air Max</v>
      </c>
      <c r="F191" s="6">
        <v>4</v>
      </c>
      <c r="G191" s="2">
        <f t="shared" si="11"/>
        <v>12325</v>
      </c>
      <c r="H191" s="2">
        <f t="shared" si="9"/>
        <v>49300</v>
      </c>
      <c r="I191" s="20">
        <f t="shared" si="10"/>
        <v>1</v>
      </c>
    </row>
    <row r="192" spans="3:9" ht="43.5" x14ac:dyDescent="0.35">
      <c r="C192" s="19">
        <v>45675</v>
      </c>
      <c r="D192" s="6">
        <v>5</v>
      </c>
      <c r="E192" s="2" t="str">
        <f t="shared" si="8"/>
        <v>Кроссовки повседневные New Balance</v>
      </c>
      <c r="F192" s="6">
        <v>2</v>
      </c>
      <c r="G192" s="2">
        <f t="shared" si="11"/>
        <v>7425</v>
      </c>
      <c r="H192" s="2">
        <f t="shared" si="9"/>
        <v>14850</v>
      </c>
      <c r="I192" s="20">
        <f t="shared" si="10"/>
        <v>4</v>
      </c>
    </row>
    <row r="193" spans="3:9" ht="43.5" x14ac:dyDescent="0.35">
      <c r="C193" s="19">
        <v>45675</v>
      </c>
      <c r="D193" s="6">
        <v>5</v>
      </c>
      <c r="E193" s="2" t="str">
        <f t="shared" si="8"/>
        <v>Кроссовки повседневные New Balance</v>
      </c>
      <c r="F193" s="6">
        <v>1</v>
      </c>
      <c r="G193" s="2">
        <f t="shared" si="11"/>
        <v>7425</v>
      </c>
      <c r="H193" s="2">
        <f t="shared" si="9"/>
        <v>7425</v>
      </c>
      <c r="I193" s="20">
        <f t="shared" si="10"/>
        <v>4</v>
      </c>
    </row>
    <row r="194" spans="3:9" ht="43.5" x14ac:dyDescent="0.35">
      <c r="C194" s="19">
        <v>45675</v>
      </c>
      <c r="D194" s="6">
        <v>1</v>
      </c>
      <c r="E194" s="2" t="str">
        <f t="shared" si="8"/>
        <v>Кроссовки мужские Nike Air Max</v>
      </c>
      <c r="F194" s="6">
        <v>8</v>
      </c>
      <c r="G194" s="2">
        <f t="shared" si="11"/>
        <v>12325</v>
      </c>
      <c r="H194" s="2">
        <f t="shared" si="9"/>
        <v>98600</v>
      </c>
      <c r="I194" s="20">
        <f t="shared" si="10"/>
        <v>1</v>
      </c>
    </row>
    <row r="195" spans="3:9" ht="43.5" x14ac:dyDescent="0.35">
      <c r="C195" s="19">
        <v>45675</v>
      </c>
      <c r="D195" s="6">
        <v>6</v>
      </c>
      <c r="E195" s="2" t="str">
        <f t="shared" si="8"/>
        <v>Кроссовки треккинговые Salomon X-Hike</v>
      </c>
      <c r="F195" s="6">
        <v>1</v>
      </c>
      <c r="G195" s="2">
        <f t="shared" si="11"/>
        <v>7559.9999999999991</v>
      </c>
      <c r="H195" s="2">
        <f t="shared" si="9"/>
        <v>7559.9999999999991</v>
      </c>
      <c r="I195" s="20">
        <f t="shared" si="10"/>
        <v>4</v>
      </c>
    </row>
    <row r="196" spans="3:9" ht="43.5" x14ac:dyDescent="0.35">
      <c r="C196" s="19">
        <v>45675</v>
      </c>
      <c r="D196" s="6">
        <v>2</v>
      </c>
      <c r="E196" s="2" t="str">
        <f t="shared" si="8"/>
        <v>Кроссовки женские Adidas Ultraboost</v>
      </c>
      <c r="F196" s="6">
        <v>1</v>
      </c>
      <c r="G196" s="2">
        <f t="shared" si="11"/>
        <v>11700</v>
      </c>
      <c r="H196" s="2">
        <f t="shared" si="9"/>
        <v>11700</v>
      </c>
      <c r="I196" s="20">
        <f t="shared" si="10"/>
        <v>1</v>
      </c>
    </row>
    <row r="197" spans="3:9" ht="43.5" x14ac:dyDescent="0.35">
      <c r="C197" s="19">
        <v>45675</v>
      </c>
      <c r="D197" s="6">
        <v>2</v>
      </c>
      <c r="E197" s="2" t="str">
        <f t="shared" si="8"/>
        <v>Кроссовки женские Adidas Ultraboost</v>
      </c>
      <c r="F197" s="6">
        <v>7</v>
      </c>
      <c r="G197" s="2">
        <f t="shared" si="11"/>
        <v>11700</v>
      </c>
      <c r="H197" s="2">
        <f t="shared" si="9"/>
        <v>81900</v>
      </c>
      <c r="I197" s="20">
        <f t="shared" si="10"/>
        <v>1</v>
      </c>
    </row>
    <row r="198" spans="3:9" ht="43.5" x14ac:dyDescent="0.35">
      <c r="C198" s="19">
        <v>45675</v>
      </c>
      <c r="D198" s="6">
        <v>3</v>
      </c>
      <c r="E198" s="2" t="str">
        <f t="shared" si="8"/>
        <v>Кросовки детские Puma Play</v>
      </c>
      <c r="F198" s="6">
        <v>1</v>
      </c>
      <c r="G198" s="2">
        <f t="shared" si="11"/>
        <v>5120</v>
      </c>
      <c r="H198" s="2">
        <f t="shared" si="9"/>
        <v>5120</v>
      </c>
      <c r="I198" s="20">
        <f t="shared" si="10"/>
        <v>2</v>
      </c>
    </row>
    <row r="199" spans="3:9" ht="43.5" x14ac:dyDescent="0.35">
      <c r="C199" s="19">
        <v>45675</v>
      </c>
      <c r="D199" s="6">
        <v>6</v>
      </c>
      <c r="E199" s="2" t="str">
        <f t="shared" si="8"/>
        <v>Кроссовки треккинговые Salomon X-Hike</v>
      </c>
      <c r="F199" s="6">
        <v>10</v>
      </c>
      <c r="G199" s="2">
        <f t="shared" si="11"/>
        <v>7559.9999999999991</v>
      </c>
      <c r="H199" s="2">
        <f t="shared" si="9"/>
        <v>75599.999999999985</v>
      </c>
      <c r="I199" s="20">
        <f t="shared" si="10"/>
        <v>4</v>
      </c>
    </row>
    <row r="200" spans="3:9" ht="43.5" x14ac:dyDescent="0.35">
      <c r="C200" s="19">
        <v>45676</v>
      </c>
      <c r="D200" s="6">
        <v>2</v>
      </c>
      <c r="E200" s="2" t="str">
        <f t="shared" si="8"/>
        <v>Кроссовки женские Adidas Ultraboost</v>
      </c>
      <c r="F200" s="6">
        <v>9</v>
      </c>
      <c r="G200" s="2">
        <f t="shared" si="11"/>
        <v>11700</v>
      </c>
      <c r="H200" s="2">
        <f t="shared" si="9"/>
        <v>105300</v>
      </c>
      <c r="I200" s="20">
        <f t="shared" si="10"/>
        <v>1</v>
      </c>
    </row>
    <row r="201" spans="3:9" ht="43.5" x14ac:dyDescent="0.35">
      <c r="C201" s="19">
        <v>45676</v>
      </c>
      <c r="D201" s="6">
        <v>3</v>
      </c>
      <c r="E201" s="2" t="str">
        <f t="shared" si="8"/>
        <v>Кросовки детские Puma Play</v>
      </c>
      <c r="F201" s="6">
        <v>6</v>
      </c>
      <c r="G201" s="2">
        <f t="shared" si="11"/>
        <v>5120</v>
      </c>
      <c r="H201" s="2">
        <f t="shared" si="9"/>
        <v>30720</v>
      </c>
      <c r="I201" s="20">
        <f t="shared" si="10"/>
        <v>2</v>
      </c>
    </row>
    <row r="202" spans="3:9" ht="43.5" x14ac:dyDescent="0.35">
      <c r="C202" s="19">
        <v>45676</v>
      </c>
      <c r="D202" s="6">
        <v>2</v>
      </c>
      <c r="E202" s="2" t="str">
        <f t="shared" si="8"/>
        <v>Кроссовки женские Adidas Ultraboost</v>
      </c>
      <c r="F202" s="6">
        <v>8</v>
      </c>
      <c r="G202" s="2">
        <f t="shared" si="11"/>
        <v>11700</v>
      </c>
      <c r="H202" s="2">
        <f t="shared" si="9"/>
        <v>93600</v>
      </c>
      <c r="I202" s="20">
        <f t="shared" si="10"/>
        <v>1</v>
      </c>
    </row>
    <row r="203" spans="3:9" ht="43.5" x14ac:dyDescent="0.35">
      <c r="C203" s="19">
        <v>45676</v>
      </c>
      <c r="D203" s="6">
        <v>5</v>
      </c>
      <c r="E203" s="2" t="str">
        <f t="shared" si="8"/>
        <v>Кроссовки повседневные New Balance</v>
      </c>
      <c r="F203" s="6">
        <v>1</v>
      </c>
      <c r="G203" s="2">
        <f t="shared" si="11"/>
        <v>7425</v>
      </c>
      <c r="H203" s="2">
        <f t="shared" si="9"/>
        <v>7425</v>
      </c>
      <c r="I203" s="20">
        <f t="shared" si="10"/>
        <v>4</v>
      </c>
    </row>
    <row r="204" spans="3:9" ht="43.5" x14ac:dyDescent="0.35">
      <c r="C204" s="19">
        <v>45676</v>
      </c>
      <c r="D204" s="6">
        <v>4</v>
      </c>
      <c r="E204" s="2" t="str">
        <f t="shared" ref="E204:E267" si="12">VLOOKUP(D204,Справочник_товары,2)</f>
        <v>Кроссовки дл бега Reebok Floatride</v>
      </c>
      <c r="F204" s="6">
        <v>7</v>
      </c>
      <c r="G204" s="2">
        <f t="shared" si="11"/>
        <v>10385</v>
      </c>
      <c r="H204" s="2">
        <f t="shared" ref="H204:H267" si="13">F204*G204</f>
        <v>72695</v>
      </c>
      <c r="I204" s="20">
        <f t="shared" ref="I204:I267" si="14">VLOOKUP(D204,Справочник_товары,6)</f>
        <v>3</v>
      </c>
    </row>
    <row r="205" spans="3:9" ht="43.5" x14ac:dyDescent="0.35">
      <c r="C205" s="19">
        <v>45676</v>
      </c>
      <c r="D205" s="6">
        <v>6</v>
      </c>
      <c r="E205" s="2" t="str">
        <f t="shared" si="12"/>
        <v>Кроссовки треккинговые Salomon X-Hike</v>
      </c>
      <c r="F205" s="6">
        <v>4</v>
      </c>
      <c r="G205" s="2">
        <f t="shared" ref="G205:G268" si="15">VLOOKUP(D205,Справочник_товары,4) * (1 +VLOOKUP(D205,Справочник_товары,5))</f>
        <v>7559.9999999999991</v>
      </c>
      <c r="H205" s="2">
        <f t="shared" si="13"/>
        <v>30239.999999999996</v>
      </c>
      <c r="I205" s="20">
        <f t="shared" si="14"/>
        <v>4</v>
      </c>
    </row>
    <row r="206" spans="3:9" ht="43.5" x14ac:dyDescent="0.35">
      <c r="C206" s="19">
        <v>45676</v>
      </c>
      <c r="D206" s="6">
        <v>3</v>
      </c>
      <c r="E206" s="2" t="str">
        <f t="shared" si="12"/>
        <v>Кросовки детские Puma Play</v>
      </c>
      <c r="F206" s="6">
        <v>8</v>
      </c>
      <c r="G206" s="2">
        <f t="shared" si="15"/>
        <v>5120</v>
      </c>
      <c r="H206" s="2">
        <f t="shared" si="13"/>
        <v>40960</v>
      </c>
      <c r="I206" s="20">
        <f t="shared" si="14"/>
        <v>2</v>
      </c>
    </row>
    <row r="207" spans="3:9" ht="43.5" x14ac:dyDescent="0.35">
      <c r="C207" s="19">
        <v>45676</v>
      </c>
      <c r="D207" s="6">
        <v>1</v>
      </c>
      <c r="E207" s="2" t="str">
        <f t="shared" si="12"/>
        <v>Кроссовки мужские Nike Air Max</v>
      </c>
      <c r="F207" s="6">
        <v>8</v>
      </c>
      <c r="G207" s="2">
        <f t="shared" si="15"/>
        <v>12325</v>
      </c>
      <c r="H207" s="2">
        <f t="shared" si="13"/>
        <v>98600</v>
      </c>
      <c r="I207" s="20">
        <f t="shared" si="14"/>
        <v>1</v>
      </c>
    </row>
    <row r="208" spans="3:9" ht="43.5" x14ac:dyDescent="0.35">
      <c r="C208" s="19">
        <v>45676</v>
      </c>
      <c r="D208" s="6">
        <v>4</v>
      </c>
      <c r="E208" s="2" t="str">
        <f t="shared" si="12"/>
        <v>Кроссовки дл бега Reebok Floatride</v>
      </c>
      <c r="F208" s="6">
        <v>10</v>
      </c>
      <c r="G208" s="2">
        <f t="shared" si="15"/>
        <v>10385</v>
      </c>
      <c r="H208" s="2">
        <f t="shared" si="13"/>
        <v>103850</v>
      </c>
      <c r="I208" s="20">
        <f t="shared" si="14"/>
        <v>3</v>
      </c>
    </row>
    <row r="209" spans="3:9" ht="43.5" x14ac:dyDescent="0.35">
      <c r="C209" s="19">
        <v>45676</v>
      </c>
      <c r="D209" s="6">
        <v>5</v>
      </c>
      <c r="E209" s="2" t="str">
        <f t="shared" si="12"/>
        <v>Кроссовки повседневные New Balance</v>
      </c>
      <c r="F209" s="6">
        <v>4</v>
      </c>
      <c r="G209" s="2">
        <f t="shared" si="15"/>
        <v>7425</v>
      </c>
      <c r="H209" s="2">
        <f t="shared" si="13"/>
        <v>29700</v>
      </c>
      <c r="I209" s="20">
        <f t="shared" si="14"/>
        <v>4</v>
      </c>
    </row>
    <row r="210" spans="3:9" ht="43.5" x14ac:dyDescent="0.35">
      <c r="C210" s="19">
        <v>45677</v>
      </c>
      <c r="D210" s="6">
        <v>3</v>
      </c>
      <c r="E210" s="2" t="str">
        <f t="shared" si="12"/>
        <v>Кросовки детские Puma Play</v>
      </c>
      <c r="F210" s="6">
        <v>10</v>
      </c>
      <c r="G210" s="2">
        <f t="shared" si="15"/>
        <v>5120</v>
      </c>
      <c r="H210" s="2">
        <f t="shared" si="13"/>
        <v>51200</v>
      </c>
      <c r="I210" s="20">
        <f t="shared" si="14"/>
        <v>2</v>
      </c>
    </row>
    <row r="211" spans="3:9" ht="43.5" x14ac:dyDescent="0.35">
      <c r="C211" s="19">
        <v>45677</v>
      </c>
      <c r="D211" s="6">
        <v>3</v>
      </c>
      <c r="E211" s="2" t="str">
        <f t="shared" si="12"/>
        <v>Кросовки детские Puma Play</v>
      </c>
      <c r="F211" s="6">
        <v>5</v>
      </c>
      <c r="G211" s="2">
        <f t="shared" si="15"/>
        <v>5120</v>
      </c>
      <c r="H211" s="2">
        <f t="shared" si="13"/>
        <v>25600</v>
      </c>
      <c r="I211" s="20">
        <f t="shared" si="14"/>
        <v>2</v>
      </c>
    </row>
    <row r="212" spans="3:9" ht="43.5" x14ac:dyDescent="0.35">
      <c r="C212" s="19">
        <v>45677</v>
      </c>
      <c r="D212" s="6">
        <v>5</v>
      </c>
      <c r="E212" s="2" t="str">
        <f t="shared" si="12"/>
        <v>Кроссовки повседневные New Balance</v>
      </c>
      <c r="F212" s="6">
        <v>7</v>
      </c>
      <c r="G212" s="2">
        <f t="shared" si="15"/>
        <v>7425</v>
      </c>
      <c r="H212" s="2">
        <f t="shared" si="13"/>
        <v>51975</v>
      </c>
      <c r="I212" s="20">
        <f t="shared" si="14"/>
        <v>4</v>
      </c>
    </row>
    <row r="213" spans="3:9" ht="43.5" x14ac:dyDescent="0.35">
      <c r="C213" s="19">
        <v>45677</v>
      </c>
      <c r="D213" s="6">
        <v>5</v>
      </c>
      <c r="E213" s="2" t="str">
        <f t="shared" si="12"/>
        <v>Кроссовки повседневные New Balance</v>
      </c>
      <c r="F213" s="6">
        <v>10</v>
      </c>
      <c r="G213" s="2">
        <f t="shared" si="15"/>
        <v>7425</v>
      </c>
      <c r="H213" s="2">
        <f t="shared" si="13"/>
        <v>74250</v>
      </c>
      <c r="I213" s="20">
        <f t="shared" si="14"/>
        <v>4</v>
      </c>
    </row>
    <row r="214" spans="3:9" ht="43.5" x14ac:dyDescent="0.35">
      <c r="C214" s="19">
        <v>45677</v>
      </c>
      <c r="D214" s="6">
        <v>2</v>
      </c>
      <c r="E214" s="2" t="str">
        <f t="shared" si="12"/>
        <v>Кроссовки женские Adidas Ultraboost</v>
      </c>
      <c r="F214" s="6">
        <v>1</v>
      </c>
      <c r="G214" s="2">
        <f t="shared" si="15"/>
        <v>11700</v>
      </c>
      <c r="H214" s="2">
        <f t="shared" si="13"/>
        <v>11700</v>
      </c>
      <c r="I214" s="20">
        <f t="shared" si="14"/>
        <v>1</v>
      </c>
    </row>
    <row r="215" spans="3:9" ht="43.5" x14ac:dyDescent="0.35">
      <c r="C215" s="19">
        <v>45677</v>
      </c>
      <c r="D215" s="6">
        <v>2</v>
      </c>
      <c r="E215" s="2" t="str">
        <f t="shared" si="12"/>
        <v>Кроссовки женские Adidas Ultraboost</v>
      </c>
      <c r="F215" s="6">
        <v>10</v>
      </c>
      <c r="G215" s="2">
        <f t="shared" si="15"/>
        <v>11700</v>
      </c>
      <c r="H215" s="2">
        <f t="shared" si="13"/>
        <v>117000</v>
      </c>
      <c r="I215" s="20">
        <f t="shared" si="14"/>
        <v>1</v>
      </c>
    </row>
    <row r="216" spans="3:9" ht="43.5" x14ac:dyDescent="0.35">
      <c r="C216" s="19">
        <v>45677</v>
      </c>
      <c r="D216" s="6">
        <v>6</v>
      </c>
      <c r="E216" s="2" t="str">
        <f t="shared" si="12"/>
        <v>Кроссовки треккинговые Salomon X-Hike</v>
      </c>
      <c r="F216" s="6">
        <v>10</v>
      </c>
      <c r="G216" s="2">
        <f t="shared" si="15"/>
        <v>7559.9999999999991</v>
      </c>
      <c r="H216" s="2">
        <f t="shared" si="13"/>
        <v>75599.999999999985</v>
      </c>
      <c r="I216" s="20">
        <f t="shared" si="14"/>
        <v>4</v>
      </c>
    </row>
    <row r="217" spans="3:9" ht="43.5" x14ac:dyDescent="0.35">
      <c r="C217" s="19">
        <v>45677</v>
      </c>
      <c r="D217" s="6">
        <v>6</v>
      </c>
      <c r="E217" s="2" t="str">
        <f t="shared" si="12"/>
        <v>Кроссовки треккинговые Salomon X-Hike</v>
      </c>
      <c r="F217" s="6">
        <v>9</v>
      </c>
      <c r="G217" s="2">
        <f t="shared" si="15"/>
        <v>7559.9999999999991</v>
      </c>
      <c r="H217" s="2">
        <f t="shared" si="13"/>
        <v>68039.999999999985</v>
      </c>
      <c r="I217" s="20">
        <f t="shared" si="14"/>
        <v>4</v>
      </c>
    </row>
    <row r="218" spans="3:9" ht="43.5" x14ac:dyDescent="0.35">
      <c r="C218" s="19">
        <v>45677</v>
      </c>
      <c r="D218" s="6">
        <v>4</v>
      </c>
      <c r="E218" s="2" t="str">
        <f t="shared" si="12"/>
        <v>Кроссовки дл бега Reebok Floatride</v>
      </c>
      <c r="F218" s="6">
        <v>6</v>
      </c>
      <c r="G218" s="2">
        <f t="shared" si="15"/>
        <v>10385</v>
      </c>
      <c r="H218" s="2">
        <f t="shared" si="13"/>
        <v>62310</v>
      </c>
      <c r="I218" s="20">
        <f t="shared" si="14"/>
        <v>3</v>
      </c>
    </row>
    <row r="219" spans="3:9" ht="43.5" x14ac:dyDescent="0.35">
      <c r="C219" s="19">
        <v>45677</v>
      </c>
      <c r="D219" s="6">
        <v>4</v>
      </c>
      <c r="E219" s="2" t="str">
        <f t="shared" si="12"/>
        <v>Кроссовки дл бега Reebok Floatride</v>
      </c>
      <c r="F219" s="6">
        <v>8</v>
      </c>
      <c r="G219" s="2">
        <f t="shared" si="15"/>
        <v>10385</v>
      </c>
      <c r="H219" s="2">
        <f t="shared" si="13"/>
        <v>83080</v>
      </c>
      <c r="I219" s="20">
        <f t="shared" si="14"/>
        <v>3</v>
      </c>
    </row>
    <row r="220" spans="3:9" ht="43.5" x14ac:dyDescent="0.35">
      <c r="C220" s="19">
        <v>45678</v>
      </c>
      <c r="D220" s="6">
        <v>4</v>
      </c>
      <c r="E220" s="2" t="str">
        <f t="shared" si="12"/>
        <v>Кроссовки дл бега Reebok Floatride</v>
      </c>
      <c r="F220" s="6">
        <v>6</v>
      </c>
      <c r="G220" s="2">
        <f t="shared" si="15"/>
        <v>10385</v>
      </c>
      <c r="H220" s="2">
        <f t="shared" si="13"/>
        <v>62310</v>
      </c>
      <c r="I220" s="20">
        <f t="shared" si="14"/>
        <v>3</v>
      </c>
    </row>
    <row r="221" spans="3:9" ht="43.5" x14ac:dyDescent="0.35">
      <c r="C221" s="19">
        <v>45678</v>
      </c>
      <c r="D221" s="6">
        <v>6</v>
      </c>
      <c r="E221" s="2" t="str">
        <f t="shared" si="12"/>
        <v>Кроссовки треккинговые Salomon X-Hike</v>
      </c>
      <c r="F221" s="6">
        <v>7</v>
      </c>
      <c r="G221" s="2">
        <f t="shared" si="15"/>
        <v>7559.9999999999991</v>
      </c>
      <c r="H221" s="2">
        <f t="shared" si="13"/>
        <v>52919.999999999993</v>
      </c>
      <c r="I221" s="20">
        <f t="shared" si="14"/>
        <v>4</v>
      </c>
    </row>
    <row r="222" spans="3:9" ht="43.5" x14ac:dyDescent="0.35">
      <c r="C222" s="19">
        <v>45678</v>
      </c>
      <c r="D222" s="6">
        <v>2</v>
      </c>
      <c r="E222" s="2" t="str">
        <f t="shared" si="12"/>
        <v>Кроссовки женские Adidas Ultraboost</v>
      </c>
      <c r="F222" s="6">
        <v>6</v>
      </c>
      <c r="G222" s="2">
        <f t="shared" si="15"/>
        <v>11700</v>
      </c>
      <c r="H222" s="2">
        <f t="shared" si="13"/>
        <v>70200</v>
      </c>
      <c r="I222" s="20">
        <f t="shared" si="14"/>
        <v>1</v>
      </c>
    </row>
    <row r="223" spans="3:9" ht="43.5" x14ac:dyDescent="0.35">
      <c r="C223" s="19">
        <v>45678</v>
      </c>
      <c r="D223" s="6">
        <v>1</v>
      </c>
      <c r="E223" s="2" t="str">
        <f t="shared" si="12"/>
        <v>Кроссовки мужские Nike Air Max</v>
      </c>
      <c r="F223" s="6">
        <v>8</v>
      </c>
      <c r="G223" s="2">
        <f t="shared" si="15"/>
        <v>12325</v>
      </c>
      <c r="H223" s="2">
        <f t="shared" si="13"/>
        <v>98600</v>
      </c>
      <c r="I223" s="20">
        <f t="shared" si="14"/>
        <v>1</v>
      </c>
    </row>
    <row r="224" spans="3:9" ht="43.5" x14ac:dyDescent="0.35">
      <c r="C224" s="19">
        <v>45678</v>
      </c>
      <c r="D224" s="6">
        <v>4</v>
      </c>
      <c r="E224" s="2" t="str">
        <f t="shared" si="12"/>
        <v>Кроссовки дл бега Reebok Floatride</v>
      </c>
      <c r="F224" s="6">
        <v>1</v>
      </c>
      <c r="G224" s="2">
        <f t="shared" si="15"/>
        <v>10385</v>
      </c>
      <c r="H224" s="2">
        <f t="shared" si="13"/>
        <v>10385</v>
      </c>
      <c r="I224" s="20">
        <f t="shared" si="14"/>
        <v>3</v>
      </c>
    </row>
    <row r="225" spans="3:9" ht="43.5" x14ac:dyDescent="0.35">
      <c r="C225" s="19">
        <v>45678</v>
      </c>
      <c r="D225" s="6">
        <v>2</v>
      </c>
      <c r="E225" s="2" t="str">
        <f t="shared" si="12"/>
        <v>Кроссовки женские Adidas Ultraboost</v>
      </c>
      <c r="F225" s="6">
        <v>10</v>
      </c>
      <c r="G225" s="2">
        <f t="shared" si="15"/>
        <v>11700</v>
      </c>
      <c r="H225" s="2">
        <f t="shared" si="13"/>
        <v>117000</v>
      </c>
      <c r="I225" s="20">
        <f t="shared" si="14"/>
        <v>1</v>
      </c>
    </row>
    <row r="226" spans="3:9" ht="43.5" x14ac:dyDescent="0.35">
      <c r="C226" s="19">
        <v>45678</v>
      </c>
      <c r="D226" s="6">
        <v>5</v>
      </c>
      <c r="E226" s="2" t="str">
        <f t="shared" si="12"/>
        <v>Кроссовки повседневные New Balance</v>
      </c>
      <c r="F226" s="6">
        <v>4</v>
      </c>
      <c r="G226" s="2">
        <f t="shared" si="15"/>
        <v>7425</v>
      </c>
      <c r="H226" s="2">
        <f t="shared" si="13"/>
        <v>29700</v>
      </c>
      <c r="I226" s="20">
        <f t="shared" si="14"/>
        <v>4</v>
      </c>
    </row>
    <row r="227" spans="3:9" ht="43.5" x14ac:dyDescent="0.35">
      <c r="C227" s="19">
        <v>45678</v>
      </c>
      <c r="D227" s="6">
        <v>2</v>
      </c>
      <c r="E227" s="2" t="str">
        <f t="shared" si="12"/>
        <v>Кроссовки женские Adidas Ultraboost</v>
      </c>
      <c r="F227" s="6">
        <v>8</v>
      </c>
      <c r="G227" s="2">
        <f t="shared" si="15"/>
        <v>11700</v>
      </c>
      <c r="H227" s="2">
        <f t="shared" si="13"/>
        <v>93600</v>
      </c>
      <c r="I227" s="20">
        <f t="shared" si="14"/>
        <v>1</v>
      </c>
    </row>
    <row r="228" spans="3:9" ht="43.5" x14ac:dyDescent="0.35">
      <c r="C228" s="19">
        <v>45678</v>
      </c>
      <c r="D228" s="6">
        <v>4</v>
      </c>
      <c r="E228" s="2" t="str">
        <f t="shared" si="12"/>
        <v>Кроссовки дл бега Reebok Floatride</v>
      </c>
      <c r="F228" s="6">
        <v>10</v>
      </c>
      <c r="G228" s="2">
        <f t="shared" si="15"/>
        <v>10385</v>
      </c>
      <c r="H228" s="2">
        <f t="shared" si="13"/>
        <v>103850</v>
      </c>
      <c r="I228" s="20">
        <f t="shared" si="14"/>
        <v>3</v>
      </c>
    </row>
    <row r="229" spans="3:9" ht="43.5" x14ac:dyDescent="0.35">
      <c r="C229" s="19">
        <v>45678</v>
      </c>
      <c r="D229" s="6">
        <v>3</v>
      </c>
      <c r="E229" s="2" t="str">
        <f t="shared" si="12"/>
        <v>Кросовки детские Puma Play</v>
      </c>
      <c r="F229" s="6">
        <v>1</v>
      </c>
      <c r="G229" s="2">
        <f t="shared" si="15"/>
        <v>5120</v>
      </c>
      <c r="H229" s="2">
        <f t="shared" si="13"/>
        <v>5120</v>
      </c>
      <c r="I229" s="20">
        <f t="shared" si="14"/>
        <v>2</v>
      </c>
    </row>
    <row r="230" spans="3:9" ht="43.5" x14ac:dyDescent="0.35">
      <c r="C230" s="19">
        <v>45678</v>
      </c>
      <c r="D230" s="6">
        <v>6</v>
      </c>
      <c r="E230" s="2" t="str">
        <f t="shared" si="12"/>
        <v>Кроссовки треккинговые Salomon X-Hike</v>
      </c>
      <c r="F230" s="6">
        <v>10</v>
      </c>
      <c r="G230" s="2">
        <f t="shared" si="15"/>
        <v>7559.9999999999991</v>
      </c>
      <c r="H230" s="2">
        <f t="shared" si="13"/>
        <v>75599.999999999985</v>
      </c>
      <c r="I230" s="20">
        <f t="shared" si="14"/>
        <v>4</v>
      </c>
    </row>
    <row r="231" spans="3:9" ht="43.5" x14ac:dyDescent="0.35">
      <c r="C231" s="19">
        <v>45678</v>
      </c>
      <c r="D231" s="6">
        <v>5</v>
      </c>
      <c r="E231" s="2" t="str">
        <f t="shared" si="12"/>
        <v>Кроссовки повседневные New Balance</v>
      </c>
      <c r="F231" s="6">
        <v>5</v>
      </c>
      <c r="G231" s="2">
        <f t="shared" si="15"/>
        <v>7425</v>
      </c>
      <c r="H231" s="2">
        <f t="shared" si="13"/>
        <v>37125</v>
      </c>
      <c r="I231" s="20">
        <f t="shared" si="14"/>
        <v>4</v>
      </c>
    </row>
    <row r="232" spans="3:9" ht="43.5" x14ac:dyDescent="0.35">
      <c r="C232" s="19">
        <v>45678</v>
      </c>
      <c r="D232" s="6">
        <v>2</v>
      </c>
      <c r="E232" s="2" t="str">
        <f t="shared" si="12"/>
        <v>Кроссовки женские Adidas Ultraboost</v>
      </c>
      <c r="F232" s="6">
        <v>2</v>
      </c>
      <c r="G232" s="2">
        <f t="shared" si="15"/>
        <v>11700</v>
      </c>
      <c r="H232" s="2">
        <f t="shared" si="13"/>
        <v>23400</v>
      </c>
      <c r="I232" s="20">
        <f t="shared" si="14"/>
        <v>1</v>
      </c>
    </row>
    <row r="233" spans="3:9" ht="43.5" x14ac:dyDescent="0.35">
      <c r="C233" s="19">
        <v>45679</v>
      </c>
      <c r="D233" s="6">
        <v>3</v>
      </c>
      <c r="E233" s="2" t="str">
        <f t="shared" si="12"/>
        <v>Кросовки детские Puma Play</v>
      </c>
      <c r="F233" s="6">
        <v>6</v>
      </c>
      <c r="G233" s="2">
        <f t="shared" si="15"/>
        <v>5120</v>
      </c>
      <c r="H233" s="2">
        <f t="shared" si="13"/>
        <v>30720</v>
      </c>
      <c r="I233" s="20">
        <f t="shared" si="14"/>
        <v>2</v>
      </c>
    </row>
    <row r="234" spans="3:9" ht="43.5" x14ac:dyDescent="0.35">
      <c r="C234" s="19">
        <v>45679</v>
      </c>
      <c r="D234" s="6">
        <v>4</v>
      </c>
      <c r="E234" s="2" t="str">
        <f t="shared" si="12"/>
        <v>Кроссовки дл бега Reebok Floatride</v>
      </c>
      <c r="F234" s="6">
        <v>9</v>
      </c>
      <c r="G234" s="2">
        <f t="shared" si="15"/>
        <v>10385</v>
      </c>
      <c r="H234" s="2">
        <f t="shared" si="13"/>
        <v>93465</v>
      </c>
      <c r="I234" s="20">
        <f t="shared" si="14"/>
        <v>3</v>
      </c>
    </row>
    <row r="235" spans="3:9" ht="43.5" x14ac:dyDescent="0.35">
      <c r="C235" s="19">
        <v>45679</v>
      </c>
      <c r="D235" s="6">
        <v>1</v>
      </c>
      <c r="E235" s="2" t="str">
        <f t="shared" si="12"/>
        <v>Кроссовки мужские Nike Air Max</v>
      </c>
      <c r="F235" s="6">
        <v>10</v>
      </c>
      <c r="G235" s="2">
        <f t="shared" si="15"/>
        <v>12325</v>
      </c>
      <c r="H235" s="2">
        <f t="shared" si="13"/>
        <v>123250</v>
      </c>
      <c r="I235" s="20">
        <f t="shared" si="14"/>
        <v>1</v>
      </c>
    </row>
    <row r="236" spans="3:9" ht="43.5" x14ac:dyDescent="0.35">
      <c r="C236" s="19">
        <v>45679</v>
      </c>
      <c r="D236" s="6">
        <v>1</v>
      </c>
      <c r="E236" s="2" t="str">
        <f t="shared" si="12"/>
        <v>Кроссовки мужские Nike Air Max</v>
      </c>
      <c r="F236" s="6">
        <v>10</v>
      </c>
      <c r="G236" s="2">
        <f t="shared" si="15"/>
        <v>12325</v>
      </c>
      <c r="H236" s="2">
        <f t="shared" si="13"/>
        <v>123250</v>
      </c>
      <c r="I236" s="20">
        <f t="shared" si="14"/>
        <v>1</v>
      </c>
    </row>
    <row r="237" spans="3:9" ht="43.5" x14ac:dyDescent="0.35">
      <c r="C237" s="19">
        <v>45679</v>
      </c>
      <c r="D237" s="6">
        <v>3</v>
      </c>
      <c r="E237" s="2" t="str">
        <f t="shared" si="12"/>
        <v>Кросовки детские Puma Play</v>
      </c>
      <c r="F237" s="6">
        <v>5</v>
      </c>
      <c r="G237" s="2">
        <f t="shared" si="15"/>
        <v>5120</v>
      </c>
      <c r="H237" s="2">
        <f t="shared" si="13"/>
        <v>25600</v>
      </c>
      <c r="I237" s="20">
        <f t="shared" si="14"/>
        <v>2</v>
      </c>
    </row>
    <row r="238" spans="3:9" ht="43.5" x14ac:dyDescent="0.35">
      <c r="C238" s="19">
        <v>45680</v>
      </c>
      <c r="D238" s="6">
        <v>2</v>
      </c>
      <c r="E238" s="2" t="str">
        <f t="shared" si="12"/>
        <v>Кроссовки женские Adidas Ultraboost</v>
      </c>
      <c r="F238" s="6">
        <v>9</v>
      </c>
      <c r="G238" s="2">
        <f t="shared" si="15"/>
        <v>11700</v>
      </c>
      <c r="H238" s="2">
        <f t="shared" si="13"/>
        <v>105300</v>
      </c>
      <c r="I238" s="20">
        <f t="shared" si="14"/>
        <v>1</v>
      </c>
    </row>
    <row r="239" spans="3:9" ht="43.5" x14ac:dyDescent="0.35">
      <c r="C239" s="19">
        <v>45680</v>
      </c>
      <c r="D239" s="6">
        <v>3</v>
      </c>
      <c r="E239" s="2" t="str">
        <f t="shared" si="12"/>
        <v>Кросовки детские Puma Play</v>
      </c>
      <c r="F239" s="6">
        <v>6</v>
      </c>
      <c r="G239" s="2">
        <f t="shared" si="15"/>
        <v>5120</v>
      </c>
      <c r="H239" s="2">
        <f t="shared" si="13"/>
        <v>30720</v>
      </c>
      <c r="I239" s="20">
        <f t="shared" si="14"/>
        <v>2</v>
      </c>
    </row>
    <row r="240" spans="3:9" ht="43.5" x14ac:dyDescent="0.35">
      <c r="C240" s="19">
        <v>45680</v>
      </c>
      <c r="D240" s="6">
        <v>6</v>
      </c>
      <c r="E240" s="2" t="str">
        <f t="shared" si="12"/>
        <v>Кроссовки треккинговые Salomon X-Hike</v>
      </c>
      <c r="F240" s="6">
        <v>10</v>
      </c>
      <c r="G240" s="2">
        <f t="shared" si="15"/>
        <v>7559.9999999999991</v>
      </c>
      <c r="H240" s="2">
        <f t="shared" si="13"/>
        <v>75599.999999999985</v>
      </c>
      <c r="I240" s="20">
        <f t="shared" si="14"/>
        <v>4</v>
      </c>
    </row>
    <row r="241" spans="3:9" ht="43.5" x14ac:dyDescent="0.35">
      <c r="C241" s="19">
        <v>45680</v>
      </c>
      <c r="D241" s="6">
        <v>3</v>
      </c>
      <c r="E241" s="2" t="str">
        <f t="shared" si="12"/>
        <v>Кросовки детские Puma Play</v>
      </c>
      <c r="F241" s="6">
        <v>1</v>
      </c>
      <c r="G241" s="2">
        <f t="shared" si="15"/>
        <v>5120</v>
      </c>
      <c r="H241" s="2">
        <f t="shared" si="13"/>
        <v>5120</v>
      </c>
      <c r="I241" s="20">
        <f t="shared" si="14"/>
        <v>2</v>
      </c>
    </row>
    <row r="242" spans="3:9" ht="43.5" x14ac:dyDescent="0.35">
      <c r="C242" s="19">
        <v>45680</v>
      </c>
      <c r="D242" s="6">
        <v>1</v>
      </c>
      <c r="E242" s="2" t="str">
        <f t="shared" si="12"/>
        <v>Кроссовки мужские Nike Air Max</v>
      </c>
      <c r="F242" s="6">
        <v>2</v>
      </c>
      <c r="G242" s="2">
        <f t="shared" si="15"/>
        <v>12325</v>
      </c>
      <c r="H242" s="2">
        <f t="shared" si="13"/>
        <v>24650</v>
      </c>
      <c r="I242" s="20">
        <f t="shared" si="14"/>
        <v>1</v>
      </c>
    </row>
    <row r="243" spans="3:9" ht="43.5" x14ac:dyDescent="0.35">
      <c r="C243" s="19">
        <v>45680</v>
      </c>
      <c r="D243" s="6">
        <v>6</v>
      </c>
      <c r="E243" s="2" t="str">
        <f t="shared" si="12"/>
        <v>Кроссовки треккинговые Salomon X-Hike</v>
      </c>
      <c r="F243" s="6">
        <v>5</v>
      </c>
      <c r="G243" s="2">
        <f t="shared" si="15"/>
        <v>7559.9999999999991</v>
      </c>
      <c r="H243" s="2">
        <f t="shared" si="13"/>
        <v>37799.999999999993</v>
      </c>
      <c r="I243" s="20">
        <f t="shared" si="14"/>
        <v>4</v>
      </c>
    </row>
    <row r="244" spans="3:9" ht="43.5" x14ac:dyDescent="0.35">
      <c r="C244" s="19">
        <v>45681</v>
      </c>
      <c r="D244" s="6">
        <v>2</v>
      </c>
      <c r="E244" s="2" t="str">
        <f t="shared" si="12"/>
        <v>Кроссовки женские Adidas Ultraboost</v>
      </c>
      <c r="F244" s="6">
        <v>10</v>
      </c>
      <c r="G244" s="2">
        <f t="shared" si="15"/>
        <v>11700</v>
      </c>
      <c r="H244" s="2">
        <f t="shared" si="13"/>
        <v>117000</v>
      </c>
      <c r="I244" s="20">
        <f t="shared" si="14"/>
        <v>1</v>
      </c>
    </row>
    <row r="245" spans="3:9" ht="43.5" x14ac:dyDescent="0.35">
      <c r="C245" s="19">
        <v>45681</v>
      </c>
      <c r="D245" s="6">
        <v>6</v>
      </c>
      <c r="E245" s="2" t="str">
        <f t="shared" si="12"/>
        <v>Кроссовки треккинговые Salomon X-Hike</v>
      </c>
      <c r="F245" s="6">
        <v>8</v>
      </c>
      <c r="G245" s="2">
        <f t="shared" si="15"/>
        <v>7559.9999999999991</v>
      </c>
      <c r="H245" s="2">
        <f t="shared" si="13"/>
        <v>60479.999999999993</v>
      </c>
      <c r="I245" s="20">
        <f t="shared" si="14"/>
        <v>4</v>
      </c>
    </row>
    <row r="246" spans="3:9" ht="43.5" x14ac:dyDescent="0.35">
      <c r="C246" s="19">
        <v>45681</v>
      </c>
      <c r="D246" s="6">
        <v>4</v>
      </c>
      <c r="E246" s="2" t="str">
        <f t="shared" si="12"/>
        <v>Кроссовки дл бега Reebok Floatride</v>
      </c>
      <c r="F246" s="6">
        <v>6</v>
      </c>
      <c r="G246" s="2">
        <f t="shared" si="15"/>
        <v>10385</v>
      </c>
      <c r="H246" s="2">
        <f t="shared" si="13"/>
        <v>62310</v>
      </c>
      <c r="I246" s="20">
        <f t="shared" si="14"/>
        <v>3</v>
      </c>
    </row>
    <row r="247" spans="3:9" ht="43.5" x14ac:dyDescent="0.35">
      <c r="C247" s="19">
        <v>45681</v>
      </c>
      <c r="D247" s="6">
        <v>6</v>
      </c>
      <c r="E247" s="2" t="str">
        <f t="shared" si="12"/>
        <v>Кроссовки треккинговые Salomon X-Hike</v>
      </c>
      <c r="F247" s="6">
        <v>2</v>
      </c>
      <c r="G247" s="2">
        <f t="shared" si="15"/>
        <v>7559.9999999999991</v>
      </c>
      <c r="H247" s="2">
        <f t="shared" si="13"/>
        <v>15119.999999999998</v>
      </c>
      <c r="I247" s="20">
        <f t="shared" si="14"/>
        <v>4</v>
      </c>
    </row>
    <row r="248" spans="3:9" ht="43.5" x14ac:dyDescent="0.35">
      <c r="C248" s="19">
        <v>45681</v>
      </c>
      <c r="D248" s="6">
        <v>3</v>
      </c>
      <c r="E248" s="2" t="str">
        <f t="shared" si="12"/>
        <v>Кросовки детские Puma Play</v>
      </c>
      <c r="F248" s="6">
        <v>3</v>
      </c>
      <c r="G248" s="2">
        <f t="shared" si="15"/>
        <v>5120</v>
      </c>
      <c r="H248" s="2">
        <f t="shared" si="13"/>
        <v>15360</v>
      </c>
      <c r="I248" s="20">
        <f t="shared" si="14"/>
        <v>2</v>
      </c>
    </row>
    <row r="249" spans="3:9" ht="43.5" x14ac:dyDescent="0.35">
      <c r="C249" s="19">
        <v>45681</v>
      </c>
      <c r="D249" s="6">
        <v>6</v>
      </c>
      <c r="E249" s="2" t="str">
        <f t="shared" si="12"/>
        <v>Кроссовки треккинговые Salomon X-Hike</v>
      </c>
      <c r="F249" s="6">
        <v>10</v>
      </c>
      <c r="G249" s="2">
        <f t="shared" si="15"/>
        <v>7559.9999999999991</v>
      </c>
      <c r="H249" s="2">
        <f t="shared" si="13"/>
        <v>75599.999999999985</v>
      </c>
      <c r="I249" s="20">
        <f t="shared" si="14"/>
        <v>4</v>
      </c>
    </row>
    <row r="250" spans="3:9" ht="43.5" x14ac:dyDescent="0.35">
      <c r="C250" s="19">
        <v>45681</v>
      </c>
      <c r="D250" s="6">
        <v>2</v>
      </c>
      <c r="E250" s="2" t="str">
        <f t="shared" si="12"/>
        <v>Кроссовки женские Adidas Ultraboost</v>
      </c>
      <c r="F250" s="6">
        <v>7</v>
      </c>
      <c r="G250" s="2">
        <f t="shared" si="15"/>
        <v>11700</v>
      </c>
      <c r="H250" s="2">
        <f t="shared" si="13"/>
        <v>81900</v>
      </c>
      <c r="I250" s="20">
        <f t="shared" si="14"/>
        <v>1</v>
      </c>
    </row>
    <row r="251" spans="3:9" ht="43.5" x14ac:dyDescent="0.35">
      <c r="C251" s="19">
        <v>45681</v>
      </c>
      <c r="D251" s="6">
        <v>5</v>
      </c>
      <c r="E251" s="2" t="str">
        <f t="shared" si="12"/>
        <v>Кроссовки повседневные New Balance</v>
      </c>
      <c r="F251" s="6">
        <v>7</v>
      </c>
      <c r="G251" s="2">
        <f t="shared" si="15"/>
        <v>7425</v>
      </c>
      <c r="H251" s="2">
        <f t="shared" si="13"/>
        <v>51975</v>
      </c>
      <c r="I251" s="20">
        <f t="shared" si="14"/>
        <v>4</v>
      </c>
    </row>
    <row r="252" spans="3:9" ht="43.5" x14ac:dyDescent="0.35">
      <c r="C252" s="19">
        <v>45681</v>
      </c>
      <c r="D252" s="6">
        <v>3</v>
      </c>
      <c r="E252" s="2" t="str">
        <f t="shared" si="12"/>
        <v>Кросовки детские Puma Play</v>
      </c>
      <c r="F252" s="6">
        <v>4</v>
      </c>
      <c r="G252" s="2">
        <f t="shared" si="15"/>
        <v>5120</v>
      </c>
      <c r="H252" s="2">
        <f t="shared" si="13"/>
        <v>20480</v>
      </c>
      <c r="I252" s="20">
        <f t="shared" si="14"/>
        <v>2</v>
      </c>
    </row>
    <row r="253" spans="3:9" ht="43.5" x14ac:dyDescent="0.35">
      <c r="C253" s="19">
        <v>45681</v>
      </c>
      <c r="D253" s="6">
        <v>6</v>
      </c>
      <c r="E253" s="2" t="str">
        <f t="shared" si="12"/>
        <v>Кроссовки треккинговые Salomon X-Hike</v>
      </c>
      <c r="F253" s="6">
        <v>7</v>
      </c>
      <c r="G253" s="2">
        <f t="shared" si="15"/>
        <v>7559.9999999999991</v>
      </c>
      <c r="H253" s="2">
        <f t="shared" si="13"/>
        <v>52919.999999999993</v>
      </c>
      <c r="I253" s="20">
        <f t="shared" si="14"/>
        <v>4</v>
      </c>
    </row>
    <row r="254" spans="3:9" ht="43.5" x14ac:dyDescent="0.35">
      <c r="C254" s="19">
        <v>45681</v>
      </c>
      <c r="D254" s="6">
        <v>1</v>
      </c>
      <c r="E254" s="2" t="str">
        <f t="shared" si="12"/>
        <v>Кроссовки мужские Nike Air Max</v>
      </c>
      <c r="F254" s="6">
        <v>10</v>
      </c>
      <c r="G254" s="2">
        <f t="shared" si="15"/>
        <v>12325</v>
      </c>
      <c r="H254" s="2">
        <f t="shared" si="13"/>
        <v>123250</v>
      </c>
      <c r="I254" s="20">
        <f t="shared" si="14"/>
        <v>1</v>
      </c>
    </row>
    <row r="255" spans="3:9" ht="43.5" x14ac:dyDescent="0.35">
      <c r="C255" s="19">
        <v>45681</v>
      </c>
      <c r="D255" s="6">
        <v>6</v>
      </c>
      <c r="E255" s="2" t="str">
        <f t="shared" si="12"/>
        <v>Кроссовки треккинговые Salomon X-Hike</v>
      </c>
      <c r="F255" s="6">
        <v>10</v>
      </c>
      <c r="G255" s="2">
        <f t="shared" si="15"/>
        <v>7559.9999999999991</v>
      </c>
      <c r="H255" s="2">
        <f t="shared" si="13"/>
        <v>75599.999999999985</v>
      </c>
      <c r="I255" s="20">
        <f t="shared" si="14"/>
        <v>4</v>
      </c>
    </row>
    <row r="256" spans="3:9" ht="43.5" x14ac:dyDescent="0.35">
      <c r="C256" s="19">
        <v>45682</v>
      </c>
      <c r="D256" s="6">
        <v>4</v>
      </c>
      <c r="E256" s="2" t="str">
        <f t="shared" si="12"/>
        <v>Кроссовки дл бега Reebok Floatride</v>
      </c>
      <c r="F256" s="6">
        <v>2</v>
      </c>
      <c r="G256" s="2">
        <f t="shared" si="15"/>
        <v>10385</v>
      </c>
      <c r="H256" s="2">
        <f t="shared" si="13"/>
        <v>20770</v>
      </c>
      <c r="I256" s="20">
        <f t="shared" si="14"/>
        <v>3</v>
      </c>
    </row>
    <row r="257" spans="3:9" ht="43.5" x14ac:dyDescent="0.35">
      <c r="C257" s="19">
        <v>45682</v>
      </c>
      <c r="D257" s="6">
        <v>1</v>
      </c>
      <c r="E257" s="2" t="str">
        <f t="shared" si="12"/>
        <v>Кроссовки мужские Nike Air Max</v>
      </c>
      <c r="F257" s="6">
        <v>1</v>
      </c>
      <c r="G257" s="2">
        <f t="shared" si="15"/>
        <v>12325</v>
      </c>
      <c r="H257" s="2">
        <f t="shared" si="13"/>
        <v>12325</v>
      </c>
      <c r="I257" s="20">
        <f t="shared" si="14"/>
        <v>1</v>
      </c>
    </row>
    <row r="258" spans="3:9" ht="43.5" x14ac:dyDescent="0.35">
      <c r="C258" s="19">
        <v>45682</v>
      </c>
      <c r="D258" s="6">
        <v>6</v>
      </c>
      <c r="E258" s="2" t="str">
        <f t="shared" si="12"/>
        <v>Кроссовки треккинговые Salomon X-Hike</v>
      </c>
      <c r="F258" s="6">
        <v>6</v>
      </c>
      <c r="G258" s="2">
        <f t="shared" si="15"/>
        <v>7559.9999999999991</v>
      </c>
      <c r="H258" s="2">
        <f t="shared" si="13"/>
        <v>45359.999999999993</v>
      </c>
      <c r="I258" s="20">
        <f t="shared" si="14"/>
        <v>4</v>
      </c>
    </row>
    <row r="259" spans="3:9" ht="43.5" x14ac:dyDescent="0.35">
      <c r="C259" s="19">
        <v>45682</v>
      </c>
      <c r="D259" s="6">
        <v>2</v>
      </c>
      <c r="E259" s="2" t="str">
        <f t="shared" si="12"/>
        <v>Кроссовки женские Adidas Ultraboost</v>
      </c>
      <c r="F259" s="6">
        <v>4</v>
      </c>
      <c r="G259" s="2">
        <f t="shared" si="15"/>
        <v>11700</v>
      </c>
      <c r="H259" s="2">
        <f t="shared" si="13"/>
        <v>46800</v>
      </c>
      <c r="I259" s="20">
        <f t="shared" si="14"/>
        <v>1</v>
      </c>
    </row>
    <row r="260" spans="3:9" ht="43.5" x14ac:dyDescent="0.35">
      <c r="C260" s="19">
        <v>45682</v>
      </c>
      <c r="D260" s="6">
        <v>4</v>
      </c>
      <c r="E260" s="2" t="str">
        <f t="shared" si="12"/>
        <v>Кроссовки дл бега Reebok Floatride</v>
      </c>
      <c r="F260" s="6">
        <v>1</v>
      </c>
      <c r="G260" s="2">
        <f t="shared" si="15"/>
        <v>10385</v>
      </c>
      <c r="H260" s="2">
        <f t="shared" si="13"/>
        <v>10385</v>
      </c>
      <c r="I260" s="20">
        <f t="shared" si="14"/>
        <v>3</v>
      </c>
    </row>
    <row r="261" spans="3:9" ht="43.5" x14ac:dyDescent="0.35">
      <c r="C261" s="19">
        <v>45682</v>
      </c>
      <c r="D261" s="6">
        <v>6</v>
      </c>
      <c r="E261" s="2" t="str">
        <f t="shared" si="12"/>
        <v>Кроссовки треккинговые Salomon X-Hike</v>
      </c>
      <c r="F261" s="6">
        <v>1</v>
      </c>
      <c r="G261" s="2">
        <f t="shared" si="15"/>
        <v>7559.9999999999991</v>
      </c>
      <c r="H261" s="2">
        <f t="shared" si="13"/>
        <v>7559.9999999999991</v>
      </c>
      <c r="I261" s="20">
        <f t="shared" si="14"/>
        <v>4</v>
      </c>
    </row>
    <row r="262" spans="3:9" ht="43.5" x14ac:dyDescent="0.35">
      <c r="C262" s="19">
        <v>45682</v>
      </c>
      <c r="D262" s="6">
        <v>5</v>
      </c>
      <c r="E262" s="2" t="str">
        <f t="shared" si="12"/>
        <v>Кроссовки повседневные New Balance</v>
      </c>
      <c r="F262" s="6">
        <v>6</v>
      </c>
      <c r="G262" s="2">
        <f t="shared" si="15"/>
        <v>7425</v>
      </c>
      <c r="H262" s="2">
        <f t="shared" si="13"/>
        <v>44550</v>
      </c>
      <c r="I262" s="20">
        <f t="shared" si="14"/>
        <v>4</v>
      </c>
    </row>
    <row r="263" spans="3:9" ht="43.5" x14ac:dyDescent="0.35">
      <c r="C263" s="19">
        <v>45682</v>
      </c>
      <c r="D263" s="6">
        <v>2</v>
      </c>
      <c r="E263" s="2" t="str">
        <f t="shared" si="12"/>
        <v>Кроссовки женские Adidas Ultraboost</v>
      </c>
      <c r="F263" s="6">
        <v>5</v>
      </c>
      <c r="G263" s="2">
        <f t="shared" si="15"/>
        <v>11700</v>
      </c>
      <c r="H263" s="2">
        <f t="shared" si="13"/>
        <v>58500</v>
      </c>
      <c r="I263" s="20">
        <f t="shared" si="14"/>
        <v>1</v>
      </c>
    </row>
    <row r="264" spans="3:9" ht="43.5" x14ac:dyDescent="0.35">
      <c r="C264" s="19">
        <v>45682</v>
      </c>
      <c r="D264" s="6">
        <v>3</v>
      </c>
      <c r="E264" s="2" t="str">
        <f t="shared" si="12"/>
        <v>Кросовки детские Puma Play</v>
      </c>
      <c r="F264" s="6">
        <v>5</v>
      </c>
      <c r="G264" s="2">
        <f t="shared" si="15"/>
        <v>5120</v>
      </c>
      <c r="H264" s="2">
        <f t="shared" si="13"/>
        <v>25600</v>
      </c>
      <c r="I264" s="20">
        <f t="shared" si="14"/>
        <v>2</v>
      </c>
    </row>
    <row r="265" spans="3:9" ht="43.5" x14ac:dyDescent="0.35">
      <c r="C265" s="19">
        <v>45682</v>
      </c>
      <c r="D265" s="6">
        <v>5</v>
      </c>
      <c r="E265" s="2" t="str">
        <f t="shared" si="12"/>
        <v>Кроссовки повседневные New Balance</v>
      </c>
      <c r="F265" s="6">
        <v>8</v>
      </c>
      <c r="G265" s="2">
        <f t="shared" si="15"/>
        <v>7425</v>
      </c>
      <c r="H265" s="2">
        <f t="shared" si="13"/>
        <v>59400</v>
      </c>
      <c r="I265" s="20">
        <f t="shared" si="14"/>
        <v>4</v>
      </c>
    </row>
    <row r="266" spans="3:9" ht="43.5" x14ac:dyDescent="0.35">
      <c r="C266" s="19">
        <v>45682</v>
      </c>
      <c r="D266" s="6">
        <v>6</v>
      </c>
      <c r="E266" s="2" t="str">
        <f t="shared" si="12"/>
        <v>Кроссовки треккинговые Salomon X-Hike</v>
      </c>
      <c r="F266" s="6">
        <v>6</v>
      </c>
      <c r="G266" s="2">
        <f t="shared" si="15"/>
        <v>7559.9999999999991</v>
      </c>
      <c r="H266" s="2">
        <f t="shared" si="13"/>
        <v>45359.999999999993</v>
      </c>
      <c r="I266" s="20">
        <f t="shared" si="14"/>
        <v>4</v>
      </c>
    </row>
    <row r="267" spans="3:9" ht="43.5" x14ac:dyDescent="0.35">
      <c r="C267" s="19">
        <v>45682</v>
      </c>
      <c r="D267" s="6">
        <v>4</v>
      </c>
      <c r="E267" s="2" t="str">
        <f t="shared" si="12"/>
        <v>Кроссовки дл бега Reebok Floatride</v>
      </c>
      <c r="F267" s="6">
        <v>2</v>
      </c>
      <c r="G267" s="2">
        <f t="shared" si="15"/>
        <v>10385</v>
      </c>
      <c r="H267" s="2">
        <f t="shared" si="13"/>
        <v>20770</v>
      </c>
      <c r="I267" s="20">
        <f t="shared" si="14"/>
        <v>3</v>
      </c>
    </row>
    <row r="268" spans="3:9" ht="43.5" x14ac:dyDescent="0.35">
      <c r="C268" s="19">
        <v>45682</v>
      </c>
      <c r="D268" s="6">
        <v>2</v>
      </c>
      <c r="E268" s="2" t="str">
        <f t="shared" ref="E268:E312" si="16">VLOOKUP(D268,Справочник_товары,2)</f>
        <v>Кроссовки женские Adidas Ultraboost</v>
      </c>
      <c r="F268" s="6">
        <v>9</v>
      </c>
      <c r="G268" s="2">
        <f t="shared" si="15"/>
        <v>11700</v>
      </c>
      <c r="H268" s="2">
        <f t="shared" ref="H268:H312" si="17">F268*G268</f>
        <v>105300</v>
      </c>
      <c r="I268" s="20">
        <f t="shared" ref="I268:I312" si="18">VLOOKUP(D268,Справочник_товары,6)</f>
        <v>1</v>
      </c>
    </row>
    <row r="269" spans="3:9" ht="43.5" x14ac:dyDescent="0.35">
      <c r="C269" s="19">
        <v>45683</v>
      </c>
      <c r="D269" s="6">
        <v>5</v>
      </c>
      <c r="E269" s="2" t="str">
        <f t="shared" si="16"/>
        <v>Кроссовки повседневные New Balance</v>
      </c>
      <c r="F269" s="6">
        <v>8</v>
      </c>
      <c r="G269" s="2">
        <f t="shared" ref="G269:G312" si="19">VLOOKUP(D269,Справочник_товары,4) * (1 +VLOOKUP(D269,Справочник_товары,5))</f>
        <v>7425</v>
      </c>
      <c r="H269" s="2">
        <f t="shared" si="17"/>
        <v>59400</v>
      </c>
      <c r="I269" s="20">
        <f t="shared" si="18"/>
        <v>4</v>
      </c>
    </row>
    <row r="270" spans="3:9" ht="43.5" x14ac:dyDescent="0.35">
      <c r="C270" s="19">
        <v>45683</v>
      </c>
      <c r="D270" s="6">
        <v>6</v>
      </c>
      <c r="E270" s="2" t="str">
        <f t="shared" si="16"/>
        <v>Кроссовки треккинговые Salomon X-Hike</v>
      </c>
      <c r="F270" s="6">
        <v>5</v>
      </c>
      <c r="G270" s="2">
        <f t="shared" si="19"/>
        <v>7559.9999999999991</v>
      </c>
      <c r="H270" s="2">
        <f t="shared" si="17"/>
        <v>37799.999999999993</v>
      </c>
      <c r="I270" s="20">
        <f t="shared" si="18"/>
        <v>4</v>
      </c>
    </row>
    <row r="271" spans="3:9" ht="43.5" x14ac:dyDescent="0.35">
      <c r="C271" s="19">
        <v>45683</v>
      </c>
      <c r="D271" s="6">
        <v>4</v>
      </c>
      <c r="E271" s="2" t="str">
        <f t="shared" si="16"/>
        <v>Кроссовки дл бега Reebok Floatride</v>
      </c>
      <c r="F271" s="6">
        <v>2</v>
      </c>
      <c r="G271" s="2">
        <f t="shared" si="19"/>
        <v>10385</v>
      </c>
      <c r="H271" s="2">
        <f t="shared" si="17"/>
        <v>20770</v>
      </c>
      <c r="I271" s="20">
        <f t="shared" si="18"/>
        <v>3</v>
      </c>
    </row>
    <row r="272" spans="3:9" ht="43.5" x14ac:dyDescent="0.35">
      <c r="C272" s="19">
        <v>45683</v>
      </c>
      <c r="D272" s="6">
        <v>1</v>
      </c>
      <c r="E272" s="2" t="str">
        <f t="shared" si="16"/>
        <v>Кроссовки мужские Nike Air Max</v>
      </c>
      <c r="F272" s="6">
        <v>6</v>
      </c>
      <c r="G272" s="2">
        <f t="shared" si="19"/>
        <v>12325</v>
      </c>
      <c r="H272" s="2">
        <f t="shared" si="17"/>
        <v>73950</v>
      </c>
      <c r="I272" s="20">
        <f t="shared" si="18"/>
        <v>1</v>
      </c>
    </row>
    <row r="273" spans="3:9" ht="43.5" x14ac:dyDescent="0.35">
      <c r="C273" s="19">
        <v>45683</v>
      </c>
      <c r="D273" s="6">
        <v>4</v>
      </c>
      <c r="E273" s="2" t="str">
        <f t="shared" si="16"/>
        <v>Кроссовки дл бега Reebok Floatride</v>
      </c>
      <c r="F273" s="6">
        <v>8</v>
      </c>
      <c r="G273" s="2">
        <f t="shared" si="19"/>
        <v>10385</v>
      </c>
      <c r="H273" s="2">
        <f t="shared" si="17"/>
        <v>83080</v>
      </c>
      <c r="I273" s="20">
        <f t="shared" si="18"/>
        <v>3</v>
      </c>
    </row>
    <row r="274" spans="3:9" ht="43.5" x14ac:dyDescent="0.35">
      <c r="C274" s="19">
        <v>45683</v>
      </c>
      <c r="D274" s="6">
        <v>6</v>
      </c>
      <c r="E274" s="2" t="str">
        <f t="shared" si="16"/>
        <v>Кроссовки треккинговые Salomon X-Hike</v>
      </c>
      <c r="F274" s="6">
        <v>8</v>
      </c>
      <c r="G274" s="2">
        <f t="shared" si="19"/>
        <v>7559.9999999999991</v>
      </c>
      <c r="H274" s="2">
        <f t="shared" si="17"/>
        <v>60479.999999999993</v>
      </c>
      <c r="I274" s="20">
        <f t="shared" si="18"/>
        <v>4</v>
      </c>
    </row>
    <row r="275" spans="3:9" ht="43.5" x14ac:dyDescent="0.35">
      <c r="C275" s="19">
        <v>45683</v>
      </c>
      <c r="D275" s="6">
        <v>6</v>
      </c>
      <c r="E275" s="2" t="str">
        <f t="shared" si="16"/>
        <v>Кроссовки треккинговые Salomon X-Hike</v>
      </c>
      <c r="F275" s="6">
        <v>8</v>
      </c>
      <c r="G275" s="2">
        <f t="shared" si="19"/>
        <v>7559.9999999999991</v>
      </c>
      <c r="H275" s="2">
        <f t="shared" si="17"/>
        <v>60479.999999999993</v>
      </c>
      <c r="I275" s="20">
        <f t="shared" si="18"/>
        <v>4</v>
      </c>
    </row>
    <row r="276" spans="3:9" ht="43.5" x14ac:dyDescent="0.35">
      <c r="C276" s="19">
        <v>45683</v>
      </c>
      <c r="D276" s="6">
        <v>5</v>
      </c>
      <c r="E276" s="2" t="str">
        <f t="shared" si="16"/>
        <v>Кроссовки повседневные New Balance</v>
      </c>
      <c r="F276" s="6">
        <v>4</v>
      </c>
      <c r="G276" s="2">
        <f t="shared" si="19"/>
        <v>7425</v>
      </c>
      <c r="H276" s="2">
        <f t="shared" si="17"/>
        <v>29700</v>
      </c>
      <c r="I276" s="20">
        <f t="shared" si="18"/>
        <v>4</v>
      </c>
    </row>
    <row r="277" spans="3:9" ht="43.5" x14ac:dyDescent="0.35">
      <c r="C277" s="19">
        <v>45683</v>
      </c>
      <c r="D277" s="6">
        <v>1</v>
      </c>
      <c r="E277" s="2" t="str">
        <f t="shared" si="16"/>
        <v>Кроссовки мужские Nike Air Max</v>
      </c>
      <c r="F277" s="6">
        <v>10</v>
      </c>
      <c r="G277" s="2">
        <f t="shared" si="19"/>
        <v>12325</v>
      </c>
      <c r="H277" s="2">
        <f t="shared" si="17"/>
        <v>123250</v>
      </c>
      <c r="I277" s="20">
        <f t="shared" si="18"/>
        <v>1</v>
      </c>
    </row>
    <row r="278" spans="3:9" ht="43.5" x14ac:dyDescent="0.35">
      <c r="C278" s="19">
        <v>45684</v>
      </c>
      <c r="D278" s="6">
        <v>5</v>
      </c>
      <c r="E278" s="2" t="str">
        <f t="shared" si="16"/>
        <v>Кроссовки повседневные New Balance</v>
      </c>
      <c r="F278" s="6">
        <v>2</v>
      </c>
      <c r="G278" s="2">
        <f t="shared" si="19"/>
        <v>7425</v>
      </c>
      <c r="H278" s="2">
        <f t="shared" si="17"/>
        <v>14850</v>
      </c>
      <c r="I278" s="20">
        <f t="shared" si="18"/>
        <v>4</v>
      </c>
    </row>
    <row r="279" spans="3:9" ht="43.5" x14ac:dyDescent="0.35">
      <c r="C279" s="19">
        <v>45684</v>
      </c>
      <c r="D279" s="6">
        <v>5</v>
      </c>
      <c r="E279" s="2" t="str">
        <f t="shared" si="16"/>
        <v>Кроссовки повседневные New Balance</v>
      </c>
      <c r="F279" s="6">
        <v>1</v>
      </c>
      <c r="G279" s="2">
        <f t="shared" si="19"/>
        <v>7425</v>
      </c>
      <c r="H279" s="2">
        <f t="shared" si="17"/>
        <v>7425</v>
      </c>
      <c r="I279" s="20">
        <f t="shared" si="18"/>
        <v>4</v>
      </c>
    </row>
    <row r="280" spans="3:9" ht="43.5" x14ac:dyDescent="0.35">
      <c r="C280" s="19">
        <v>45684</v>
      </c>
      <c r="D280" s="6">
        <v>6</v>
      </c>
      <c r="E280" s="2" t="str">
        <f t="shared" si="16"/>
        <v>Кроссовки треккинговые Salomon X-Hike</v>
      </c>
      <c r="F280" s="6">
        <v>9</v>
      </c>
      <c r="G280" s="2">
        <f t="shared" si="19"/>
        <v>7559.9999999999991</v>
      </c>
      <c r="H280" s="2">
        <f t="shared" si="17"/>
        <v>68039.999999999985</v>
      </c>
      <c r="I280" s="20">
        <f t="shared" si="18"/>
        <v>4</v>
      </c>
    </row>
    <row r="281" spans="3:9" ht="43.5" x14ac:dyDescent="0.35">
      <c r="C281" s="19">
        <v>45684</v>
      </c>
      <c r="D281" s="6">
        <v>3</v>
      </c>
      <c r="E281" s="2" t="str">
        <f t="shared" si="16"/>
        <v>Кросовки детские Puma Play</v>
      </c>
      <c r="F281" s="6">
        <v>6</v>
      </c>
      <c r="G281" s="2">
        <f t="shared" si="19"/>
        <v>5120</v>
      </c>
      <c r="H281" s="2">
        <f t="shared" si="17"/>
        <v>30720</v>
      </c>
      <c r="I281" s="20">
        <f t="shared" si="18"/>
        <v>2</v>
      </c>
    </row>
    <row r="282" spans="3:9" ht="43.5" x14ac:dyDescent="0.35">
      <c r="C282" s="19">
        <v>45684</v>
      </c>
      <c r="D282" s="6">
        <v>3</v>
      </c>
      <c r="E282" s="2" t="str">
        <f t="shared" si="16"/>
        <v>Кросовки детские Puma Play</v>
      </c>
      <c r="F282" s="6">
        <v>5</v>
      </c>
      <c r="G282" s="2">
        <f t="shared" si="19"/>
        <v>5120</v>
      </c>
      <c r="H282" s="2">
        <f t="shared" si="17"/>
        <v>25600</v>
      </c>
      <c r="I282" s="20">
        <f t="shared" si="18"/>
        <v>2</v>
      </c>
    </row>
    <row r="283" spans="3:9" ht="43.5" x14ac:dyDescent="0.35">
      <c r="C283" s="19">
        <v>45684</v>
      </c>
      <c r="D283" s="6">
        <v>3</v>
      </c>
      <c r="E283" s="2" t="str">
        <f t="shared" si="16"/>
        <v>Кросовки детские Puma Play</v>
      </c>
      <c r="F283" s="6">
        <v>7</v>
      </c>
      <c r="G283" s="2">
        <f t="shared" si="19"/>
        <v>5120</v>
      </c>
      <c r="H283" s="2">
        <f t="shared" si="17"/>
        <v>35840</v>
      </c>
      <c r="I283" s="20">
        <f t="shared" si="18"/>
        <v>2</v>
      </c>
    </row>
    <row r="284" spans="3:9" ht="43.5" x14ac:dyDescent="0.35">
      <c r="C284" s="19">
        <v>45684</v>
      </c>
      <c r="D284" s="6">
        <v>3</v>
      </c>
      <c r="E284" s="2" t="str">
        <f t="shared" si="16"/>
        <v>Кросовки детские Puma Play</v>
      </c>
      <c r="F284" s="6">
        <v>6</v>
      </c>
      <c r="G284" s="2">
        <f t="shared" si="19"/>
        <v>5120</v>
      </c>
      <c r="H284" s="2">
        <f t="shared" si="17"/>
        <v>30720</v>
      </c>
      <c r="I284" s="20">
        <f t="shared" si="18"/>
        <v>2</v>
      </c>
    </row>
    <row r="285" spans="3:9" ht="43.5" x14ac:dyDescent="0.35">
      <c r="C285" s="19">
        <v>45685</v>
      </c>
      <c r="D285" s="6">
        <v>6</v>
      </c>
      <c r="E285" s="2" t="str">
        <f t="shared" si="16"/>
        <v>Кроссовки треккинговые Salomon X-Hike</v>
      </c>
      <c r="F285" s="6">
        <v>3</v>
      </c>
      <c r="G285" s="2">
        <f t="shared" si="19"/>
        <v>7559.9999999999991</v>
      </c>
      <c r="H285" s="2">
        <f t="shared" si="17"/>
        <v>22679.999999999996</v>
      </c>
      <c r="I285" s="20">
        <f t="shared" si="18"/>
        <v>4</v>
      </c>
    </row>
    <row r="286" spans="3:9" ht="43.5" x14ac:dyDescent="0.35">
      <c r="C286" s="19">
        <v>45685</v>
      </c>
      <c r="D286" s="6">
        <v>4</v>
      </c>
      <c r="E286" s="2" t="str">
        <f t="shared" si="16"/>
        <v>Кроссовки дл бега Reebok Floatride</v>
      </c>
      <c r="F286" s="6">
        <v>3</v>
      </c>
      <c r="G286" s="2">
        <f t="shared" si="19"/>
        <v>10385</v>
      </c>
      <c r="H286" s="2">
        <f t="shared" si="17"/>
        <v>31155</v>
      </c>
      <c r="I286" s="20">
        <f t="shared" si="18"/>
        <v>3</v>
      </c>
    </row>
    <row r="287" spans="3:9" ht="43.5" x14ac:dyDescent="0.35">
      <c r="C287" s="19">
        <v>45685</v>
      </c>
      <c r="D287" s="6">
        <v>2</v>
      </c>
      <c r="E287" s="2" t="str">
        <f t="shared" si="16"/>
        <v>Кроссовки женские Adidas Ultraboost</v>
      </c>
      <c r="F287" s="6">
        <v>7</v>
      </c>
      <c r="G287" s="2">
        <f t="shared" si="19"/>
        <v>11700</v>
      </c>
      <c r="H287" s="2">
        <f t="shared" si="17"/>
        <v>81900</v>
      </c>
      <c r="I287" s="20">
        <f t="shared" si="18"/>
        <v>1</v>
      </c>
    </row>
    <row r="288" spans="3:9" ht="43.5" x14ac:dyDescent="0.35">
      <c r="C288" s="19">
        <v>45685</v>
      </c>
      <c r="D288" s="6">
        <v>6</v>
      </c>
      <c r="E288" s="2" t="str">
        <f t="shared" si="16"/>
        <v>Кроссовки треккинговые Salomon X-Hike</v>
      </c>
      <c r="F288" s="6">
        <v>10</v>
      </c>
      <c r="G288" s="2">
        <f t="shared" si="19"/>
        <v>7559.9999999999991</v>
      </c>
      <c r="H288" s="2">
        <f t="shared" si="17"/>
        <v>75599.999999999985</v>
      </c>
      <c r="I288" s="20">
        <f t="shared" si="18"/>
        <v>4</v>
      </c>
    </row>
    <row r="289" spans="3:9" ht="43.5" x14ac:dyDescent="0.35">
      <c r="C289" s="19">
        <v>45685</v>
      </c>
      <c r="D289" s="6">
        <v>5</v>
      </c>
      <c r="E289" s="2" t="str">
        <f t="shared" si="16"/>
        <v>Кроссовки повседневные New Balance</v>
      </c>
      <c r="F289" s="6">
        <v>3</v>
      </c>
      <c r="G289" s="2">
        <f t="shared" si="19"/>
        <v>7425</v>
      </c>
      <c r="H289" s="2">
        <f t="shared" si="17"/>
        <v>22275</v>
      </c>
      <c r="I289" s="20">
        <f t="shared" si="18"/>
        <v>4</v>
      </c>
    </row>
    <row r="290" spans="3:9" ht="43.5" x14ac:dyDescent="0.35">
      <c r="C290" s="19">
        <v>45685</v>
      </c>
      <c r="D290" s="6">
        <v>2</v>
      </c>
      <c r="E290" s="2" t="str">
        <f t="shared" si="16"/>
        <v>Кроссовки женские Adidas Ultraboost</v>
      </c>
      <c r="F290" s="6">
        <v>5</v>
      </c>
      <c r="G290" s="2">
        <f t="shared" si="19"/>
        <v>11700</v>
      </c>
      <c r="H290" s="2">
        <f t="shared" si="17"/>
        <v>58500</v>
      </c>
      <c r="I290" s="20">
        <f t="shared" si="18"/>
        <v>1</v>
      </c>
    </row>
    <row r="291" spans="3:9" ht="43.5" x14ac:dyDescent="0.35">
      <c r="C291" s="19">
        <v>45685</v>
      </c>
      <c r="D291" s="6">
        <v>1</v>
      </c>
      <c r="E291" s="2" t="str">
        <f t="shared" si="16"/>
        <v>Кроссовки мужские Nike Air Max</v>
      </c>
      <c r="F291" s="6">
        <v>7</v>
      </c>
      <c r="G291" s="2">
        <f t="shared" si="19"/>
        <v>12325</v>
      </c>
      <c r="H291" s="2">
        <f t="shared" si="17"/>
        <v>86275</v>
      </c>
      <c r="I291" s="20">
        <f t="shared" si="18"/>
        <v>1</v>
      </c>
    </row>
    <row r="292" spans="3:9" ht="43.5" x14ac:dyDescent="0.35">
      <c r="C292" s="19">
        <v>45685</v>
      </c>
      <c r="D292" s="6">
        <v>6</v>
      </c>
      <c r="E292" s="2" t="str">
        <f t="shared" si="16"/>
        <v>Кроссовки треккинговые Salomon X-Hike</v>
      </c>
      <c r="F292" s="6">
        <v>6</v>
      </c>
      <c r="G292" s="2">
        <f t="shared" si="19"/>
        <v>7559.9999999999991</v>
      </c>
      <c r="H292" s="2">
        <f t="shared" si="17"/>
        <v>45359.999999999993</v>
      </c>
      <c r="I292" s="20">
        <f t="shared" si="18"/>
        <v>4</v>
      </c>
    </row>
    <row r="293" spans="3:9" ht="43.5" x14ac:dyDescent="0.35">
      <c r="C293" s="19">
        <v>45685</v>
      </c>
      <c r="D293" s="6">
        <v>5</v>
      </c>
      <c r="E293" s="2" t="str">
        <f t="shared" si="16"/>
        <v>Кроссовки повседневные New Balance</v>
      </c>
      <c r="F293" s="6">
        <v>4</v>
      </c>
      <c r="G293" s="2">
        <f t="shared" si="19"/>
        <v>7425</v>
      </c>
      <c r="H293" s="2">
        <f t="shared" si="17"/>
        <v>29700</v>
      </c>
      <c r="I293" s="20">
        <f t="shared" si="18"/>
        <v>4</v>
      </c>
    </row>
    <row r="294" spans="3:9" ht="43.5" x14ac:dyDescent="0.35">
      <c r="C294" s="19">
        <v>45685</v>
      </c>
      <c r="D294" s="6">
        <v>3</v>
      </c>
      <c r="E294" s="2" t="str">
        <f t="shared" si="16"/>
        <v>Кросовки детские Puma Play</v>
      </c>
      <c r="F294" s="6">
        <v>10</v>
      </c>
      <c r="G294" s="2">
        <f t="shared" si="19"/>
        <v>5120</v>
      </c>
      <c r="H294" s="2">
        <f t="shared" si="17"/>
        <v>51200</v>
      </c>
      <c r="I294" s="20">
        <f t="shared" si="18"/>
        <v>2</v>
      </c>
    </row>
    <row r="295" spans="3:9" ht="43.5" x14ac:dyDescent="0.35">
      <c r="C295" s="19">
        <v>45685</v>
      </c>
      <c r="D295" s="6">
        <v>1</v>
      </c>
      <c r="E295" s="2" t="str">
        <f t="shared" si="16"/>
        <v>Кроссовки мужские Nike Air Max</v>
      </c>
      <c r="F295" s="6">
        <v>10</v>
      </c>
      <c r="G295" s="2">
        <f t="shared" si="19"/>
        <v>12325</v>
      </c>
      <c r="H295" s="2">
        <f t="shared" si="17"/>
        <v>123250</v>
      </c>
      <c r="I295" s="20">
        <f t="shared" si="18"/>
        <v>1</v>
      </c>
    </row>
    <row r="296" spans="3:9" ht="43.5" x14ac:dyDescent="0.35">
      <c r="C296" s="19">
        <v>45685</v>
      </c>
      <c r="D296" s="6">
        <v>3</v>
      </c>
      <c r="E296" s="2" t="str">
        <f t="shared" si="16"/>
        <v>Кросовки детские Puma Play</v>
      </c>
      <c r="F296" s="6">
        <v>7</v>
      </c>
      <c r="G296" s="2">
        <f t="shared" si="19"/>
        <v>5120</v>
      </c>
      <c r="H296" s="2">
        <f t="shared" si="17"/>
        <v>35840</v>
      </c>
      <c r="I296" s="20">
        <f t="shared" si="18"/>
        <v>2</v>
      </c>
    </row>
    <row r="297" spans="3:9" ht="43.5" x14ac:dyDescent="0.35">
      <c r="C297" s="19">
        <v>45686</v>
      </c>
      <c r="D297" s="6">
        <v>3</v>
      </c>
      <c r="E297" s="2" t="str">
        <f t="shared" si="16"/>
        <v>Кросовки детские Puma Play</v>
      </c>
      <c r="F297" s="6">
        <v>1</v>
      </c>
      <c r="G297" s="2">
        <f t="shared" si="19"/>
        <v>5120</v>
      </c>
      <c r="H297" s="2">
        <f t="shared" si="17"/>
        <v>5120</v>
      </c>
      <c r="I297" s="20">
        <f t="shared" si="18"/>
        <v>2</v>
      </c>
    </row>
    <row r="298" spans="3:9" ht="43.5" x14ac:dyDescent="0.35">
      <c r="C298" s="19">
        <v>45686</v>
      </c>
      <c r="D298" s="6">
        <v>4</v>
      </c>
      <c r="E298" s="2" t="str">
        <f t="shared" si="16"/>
        <v>Кроссовки дл бега Reebok Floatride</v>
      </c>
      <c r="F298" s="6">
        <v>8</v>
      </c>
      <c r="G298" s="2">
        <f t="shared" si="19"/>
        <v>10385</v>
      </c>
      <c r="H298" s="2">
        <f t="shared" si="17"/>
        <v>83080</v>
      </c>
      <c r="I298" s="20">
        <f t="shared" si="18"/>
        <v>3</v>
      </c>
    </row>
    <row r="299" spans="3:9" ht="43.5" x14ac:dyDescent="0.35">
      <c r="C299" s="19">
        <v>45686</v>
      </c>
      <c r="D299" s="6">
        <v>3</v>
      </c>
      <c r="E299" s="2" t="str">
        <f t="shared" si="16"/>
        <v>Кросовки детские Puma Play</v>
      </c>
      <c r="F299" s="6">
        <v>10</v>
      </c>
      <c r="G299" s="2">
        <f t="shared" si="19"/>
        <v>5120</v>
      </c>
      <c r="H299" s="2">
        <f t="shared" si="17"/>
        <v>51200</v>
      </c>
      <c r="I299" s="20">
        <f t="shared" si="18"/>
        <v>2</v>
      </c>
    </row>
    <row r="300" spans="3:9" ht="43.5" x14ac:dyDescent="0.35">
      <c r="C300" s="19">
        <v>45686</v>
      </c>
      <c r="D300" s="6">
        <v>2</v>
      </c>
      <c r="E300" s="2" t="str">
        <f t="shared" si="16"/>
        <v>Кроссовки женские Adidas Ultraboost</v>
      </c>
      <c r="F300" s="6">
        <v>7</v>
      </c>
      <c r="G300" s="2">
        <f t="shared" si="19"/>
        <v>11700</v>
      </c>
      <c r="H300" s="2">
        <f t="shared" si="17"/>
        <v>81900</v>
      </c>
      <c r="I300" s="20">
        <f t="shared" si="18"/>
        <v>1</v>
      </c>
    </row>
    <row r="301" spans="3:9" ht="43.5" x14ac:dyDescent="0.35">
      <c r="C301" s="19">
        <v>45686</v>
      </c>
      <c r="D301" s="6">
        <v>4</v>
      </c>
      <c r="E301" s="2" t="str">
        <f t="shared" si="16"/>
        <v>Кроссовки дл бега Reebok Floatride</v>
      </c>
      <c r="F301" s="6">
        <v>6</v>
      </c>
      <c r="G301" s="2">
        <f t="shared" si="19"/>
        <v>10385</v>
      </c>
      <c r="H301" s="2">
        <f t="shared" si="17"/>
        <v>62310</v>
      </c>
      <c r="I301" s="20">
        <f t="shared" si="18"/>
        <v>3</v>
      </c>
    </row>
    <row r="302" spans="3:9" ht="43.5" x14ac:dyDescent="0.35">
      <c r="C302" s="19">
        <v>45686</v>
      </c>
      <c r="D302" s="6">
        <v>5</v>
      </c>
      <c r="E302" s="2" t="str">
        <f t="shared" si="16"/>
        <v>Кроссовки повседневные New Balance</v>
      </c>
      <c r="F302" s="6">
        <v>8</v>
      </c>
      <c r="G302" s="2">
        <f t="shared" si="19"/>
        <v>7425</v>
      </c>
      <c r="H302" s="2">
        <f t="shared" si="17"/>
        <v>59400</v>
      </c>
      <c r="I302" s="20">
        <f t="shared" si="18"/>
        <v>4</v>
      </c>
    </row>
    <row r="303" spans="3:9" ht="43.5" x14ac:dyDescent="0.35">
      <c r="C303" s="19">
        <v>45686</v>
      </c>
      <c r="D303" s="6">
        <v>1</v>
      </c>
      <c r="E303" s="2" t="str">
        <f t="shared" si="16"/>
        <v>Кроссовки мужские Nike Air Max</v>
      </c>
      <c r="F303" s="6">
        <v>2</v>
      </c>
      <c r="G303" s="2">
        <f t="shared" si="19"/>
        <v>12325</v>
      </c>
      <c r="H303" s="2">
        <f t="shared" si="17"/>
        <v>24650</v>
      </c>
      <c r="I303" s="20">
        <f t="shared" si="18"/>
        <v>1</v>
      </c>
    </row>
    <row r="304" spans="3:9" ht="43.5" x14ac:dyDescent="0.35">
      <c r="C304" s="19">
        <v>45686</v>
      </c>
      <c r="D304" s="6">
        <v>1</v>
      </c>
      <c r="E304" s="2" t="str">
        <f t="shared" si="16"/>
        <v>Кроссовки мужские Nike Air Max</v>
      </c>
      <c r="F304" s="6">
        <v>1</v>
      </c>
      <c r="G304" s="2">
        <f t="shared" si="19"/>
        <v>12325</v>
      </c>
      <c r="H304" s="2">
        <f t="shared" si="17"/>
        <v>12325</v>
      </c>
      <c r="I304" s="20">
        <f t="shared" si="18"/>
        <v>1</v>
      </c>
    </row>
    <row r="305" spans="3:9" ht="43.5" x14ac:dyDescent="0.35">
      <c r="C305" s="19">
        <v>45687</v>
      </c>
      <c r="D305" s="6">
        <v>2</v>
      </c>
      <c r="E305" s="2" t="str">
        <f t="shared" si="16"/>
        <v>Кроссовки женские Adidas Ultraboost</v>
      </c>
      <c r="F305" s="6">
        <v>5</v>
      </c>
      <c r="G305" s="2">
        <f t="shared" si="19"/>
        <v>11700</v>
      </c>
      <c r="H305" s="2">
        <f t="shared" si="17"/>
        <v>58500</v>
      </c>
      <c r="I305" s="20">
        <f t="shared" si="18"/>
        <v>1</v>
      </c>
    </row>
    <row r="306" spans="3:9" ht="43.5" x14ac:dyDescent="0.35">
      <c r="C306" s="19">
        <v>45687</v>
      </c>
      <c r="D306" s="6">
        <v>6</v>
      </c>
      <c r="E306" s="2" t="str">
        <f t="shared" si="16"/>
        <v>Кроссовки треккинговые Salomon X-Hike</v>
      </c>
      <c r="F306" s="6">
        <v>6</v>
      </c>
      <c r="G306" s="2">
        <f t="shared" si="19"/>
        <v>7559.9999999999991</v>
      </c>
      <c r="H306" s="2">
        <f t="shared" si="17"/>
        <v>45359.999999999993</v>
      </c>
      <c r="I306" s="20">
        <f t="shared" si="18"/>
        <v>4</v>
      </c>
    </row>
    <row r="307" spans="3:9" ht="43.5" x14ac:dyDescent="0.35">
      <c r="C307" s="19">
        <v>45687</v>
      </c>
      <c r="D307" s="6">
        <v>1</v>
      </c>
      <c r="E307" s="2" t="str">
        <f t="shared" si="16"/>
        <v>Кроссовки мужские Nike Air Max</v>
      </c>
      <c r="F307" s="6">
        <v>3</v>
      </c>
      <c r="G307" s="2">
        <f t="shared" si="19"/>
        <v>12325</v>
      </c>
      <c r="H307" s="2">
        <f t="shared" si="17"/>
        <v>36975</v>
      </c>
      <c r="I307" s="20">
        <f t="shared" si="18"/>
        <v>1</v>
      </c>
    </row>
    <row r="308" spans="3:9" ht="43.5" x14ac:dyDescent="0.35">
      <c r="C308" s="19">
        <v>45687</v>
      </c>
      <c r="D308" s="6">
        <v>4</v>
      </c>
      <c r="E308" s="2" t="str">
        <f t="shared" si="16"/>
        <v>Кроссовки дл бега Reebok Floatride</v>
      </c>
      <c r="F308" s="6">
        <v>6</v>
      </c>
      <c r="G308" s="2">
        <f t="shared" si="19"/>
        <v>10385</v>
      </c>
      <c r="H308" s="2">
        <f t="shared" si="17"/>
        <v>62310</v>
      </c>
      <c r="I308" s="20">
        <f t="shared" si="18"/>
        <v>3</v>
      </c>
    </row>
    <row r="309" spans="3:9" ht="43.5" x14ac:dyDescent="0.35">
      <c r="C309" s="19">
        <v>45687</v>
      </c>
      <c r="D309" s="6">
        <v>6</v>
      </c>
      <c r="E309" s="2" t="str">
        <f t="shared" si="16"/>
        <v>Кроссовки треккинговые Salomon X-Hike</v>
      </c>
      <c r="F309" s="6">
        <v>9</v>
      </c>
      <c r="G309" s="2">
        <f t="shared" si="19"/>
        <v>7559.9999999999991</v>
      </c>
      <c r="H309" s="2">
        <f t="shared" si="17"/>
        <v>68039.999999999985</v>
      </c>
      <c r="I309" s="20">
        <f t="shared" si="18"/>
        <v>4</v>
      </c>
    </row>
    <row r="310" spans="3:9" ht="43.5" x14ac:dyDescent="0.35">
      <c r="C310" s="19">
        <v>45687</v>
      </c>
      <c r="D310" s="6">
        <v>6</v>
      </c>
      <c r="E310" s="2" t="str">
        <f t="shared" si="16"/>
        <v>Кроссовки треккинговые Salomon X-Hike</v>
      </c>
      <c r="F310" s="6">
        <v>2</v>
      </c>
      <c r="G310" s="2">
        <f t="shared" si="19"/>
        <v>7559.9999999999991</v>
      </c>
      <c r="H310" s="2">
        <f t="shared" si="17"/>
        <v>15119.999999999998</v>
      </c>
      <c r="I310" s="20">
        <f t="shared" si="18"/>
        <v>4</v>
      </c>
    </row>
    <row r="311" spans="3:9" ht="43.5" x14ac:dyDescent="0.35">
      <c r="C311" s="19">
        <v>45687</v>
      </c>
      <c r="D311" s="6">
        <v>4</v>
      </c>
      <c r="E311" s="2" t="str">
        <f t="shared" si="16"/>
        <v>Кроссовки дл бега Reebok Floatride</v>
      </c>
      <c r="F311" s="6">
        <v>6</v>
      </c>
      <c r="G311" s="2">
        <f t="shared" si="19"/>
        <v>10385</v>
      </c>
      <c r="H311" s="2">
        <f t="shared" si="17"/>
        <v>62310</v>
      </c>
      <c r="I311" s="20">
        <f t="shared" si="18"/>
        <v>3</v>
      </c>
    </row>
    <row r="312" spans="3:9" ht="43.5" x14ac:dyDescent="0.35">
      <c r="C312" s="24">
        <v>45687</v>
      </c>
      <c r="D312" s="25">
        <v>2</v>
      </c>
      <c r="E312" s="26" t="str">
        <f t="shared" si="16"/>
        <v>Кроссовки женские Adidas Ultraboost</v>
      </c>
      <c r="F312" s="25">
        <v>5</v>
      </c>
      <c r="G312" s="26">
        <f t="shared" si="19"/>
        <v>11700</v>
      </c>
      <c r="H312" s="26">
        <f t="shared" si="17"/>
        <v>58500</v>
      </c>
      <c r="I312" s="27">
        <f t="shared" si="18"/>
        <v>1</v>
      </c>
    </row>
    <row r="313" spans="3:9" ht="47" customHeight="1" x14ac:dyDescent="0.35">
      <c r="C313" s="24">
        <v>45798</v>
      </c>
      <c r="D313" s="25">
        <v>1</v>
      </c>
      <c r="E313" s="26" t="str">
        <f>VLOOKUP(D313,Справочник_товары,2)</f>
        <v>Кроссовки мужские Nike Air Max</v>
      </c>
      <c r="F313" s="25">
        <v>100</v>
      </c>
      <c r="G313" s="26">
        <f>VLOOKUP(D313,Справочник_товары,4) * (1 +VLOOKUP(D313,Справочник_товары,5))</f>
        <v>12325</v>
      </c>
      <c r="H313" s="26">
        <f>F313*G313</f>
        <v>1232500</v>
      </c>
      <c r="I313" s="27">
        <f>VLOOKUP(D313,Справочник_товары,6)</f>
        <v>1</v>
      </c>
    </row>
    <row r="318" spans="3:9" ht="14" customHeight="1" x14ac:dyDescent="0.3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2">
          <controlPr defaultSize="0" autoLine="0" r:id="rId4">
            <anchor moveWithCells="1">
              <from>
                <xdr:col>1</xdr:col>
                <xdr:colOff>38100</xdr:colOff>
                <xdr:row>5</xdr:row>
                <xdr:rowOff>31750</xdr:rowOff>
              </from>
              <to>
                <xdr:col>3</xdr:col>
                <xdr:colOff>76200</xdr:colOff>
                <xdr:row>7</xdr:row>
                <xdr:rowOff>63500</xdr:rowOff>
              </to>
            </anchor>
          </controlPr>
        </control>
      </mc:Choice>
      <mc:Fallback>
        <control shapeId="5123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5121" r:id="rId5" name="CommandButton1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B7" sqref="B7:H14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1" t="s">
        <v>40</v>
      </c>
      <c r="C7" s="11" t="s">
        <v>47</v>
      </c>
      <c r="D7" s="11" t="s">
        <v>48</v>
      </c>
      <c r="E7" s="11" t="s">
        <v>49</v>
      </c>
      <c r="F7" s="11" t="s">
        <v>50</v>
      </c>
      <c r="G7" s="11" t="s">
        <v>51</v>
      </c>
      <c r="H7" s="11" t="s">
        <v>45</v>
      </c>
    </row>
    <row r="8" spans="2:8" x14ac:dyDescent="0.35">
      <c r="B8" s="7">
        <v>100</v>
      </c>
      <c r="C8" s="7" t="s">
        <v>52</v>
      </c>
      <c r="D8" s="7" t="s">
        <v>53</v>
      </c>
      <c r="E8" s="7" t="s">
        <v>66</v>
      </c>
      <c r="F8" s="7">
        <v>125000</v>
      </c>
      <c r="G8" s="10">
        <v>33287</v>
      </c>
      <c r="H8" s="7">
        <v>3</v>
      </c>
    </row>
    <row r="9" spans="2:8" x14ac:dyDescent="0.35">
      <c r="B9" s="7">
        <v>200</v>
      </c>
      <c r="C9" s="7" t="s">
        <v>54</v>
      </c>
      <c r="D9" s="7" t="s">
        <v>55</v>
      </c>
      <c r="E9" s="7" t="s">
        <v>68</v>
      </c>
      <c r="F9" s="7">
        <v>65000</v>
      </c>
      <c r="G9" s="10">
        <v>31753</v>
      </c>
      <c r="H9" s="7">
        <v>2</v>
      </c>
    </row>
    <row r="10" spans="2:8" x14ac:dyDescent="0.35">
      <c r="B10" s="7">
        <v>300</v>
      </c>
      <c r="C10" s="7" t="s">
        <v>56</v>
      </c>
      <c r="D10" s="7" t="s">
        <v>57</v>
      </c>
      <c r="E10" s="7" t="s">
        <v>67</v>
      </c>
      <c r="F10" s="7">
        <v>50000</v>
      </c>
      <c r="G10" s="10">
        <v>34591</v>
      </c>
      <c r="H10" s="7">
        <v>0</v>
      </c>
    </row>
    <row r="11" spans="2:8" x14ac:dyDescent="0.35">
      <c r="B11" s="7">
        <v>400</v>
      </c>
      <c r="C11" s="7" t="s">
        <v>58</v>
      </c>
      <c r="D11" s="7" t="s">
        <v>59</v>
      </c>
      <c r="E11" s="7" t="s">
        <v>69</v>
      </c>
      <c r="F11" s="7">
        <v>40000</v>
      </c>
      <c r="G11" s="10">
        <v>32631</v>
      </c>
      <c r="H11" s="7">
        <v>1</v>
      </c>
    </row>
    <row r="12" spans="2:8" x14ac:dyDescent="0.35">
      <c r="B12" s="7">
        <v>500</v>
      </c>
      <c r="C12" s="7" t="s">
        <v>60</v>
      </c>
      <c r="D12" s="7" t="s">
        <v>61</v>
      </c>
      <c r="E12" s="7" t="s">
        <v>69</v>
      </c>
      <c r="F12" s="7">
        <v>35000</v>
      </c>
      <c r="G12" s="10">
        <v>35001</v>
      </c>
      <c r="H12" s="7">
        <v>0</v>
      </c>
    </row>
    <row r="13" spans="2:8" x14ac:dyDescent="0.35">
      <c r="B13" s="7">
        <v>600</v>
      </c>
      <c r="C13" s="7" t="s">
        <v>62</v>
      </c>
      <c r="D13" s="7" t="s">
        <v>63</v>
      </c>
      <c r="E13" s="7" t="s">
        <v>69</v>
      </c>
      <c r="F13" s="7">
        <v>35000</v>
      </c>
      <c r="G13" s="10">
        <v>30488</v>
      </c>
      <c r="H13" s="7">
        <v>1</v>
      </c>
    </row>
    <row r="14" spans="2:8" x14ac:dyDescent="0.35">
      <c r="B14" s="7">
        <v>700</v>
      </c>
      <c r="C14" s="7" t="s">
        <v>64</v>
      </c>
      <c r="D14" s="7" t="s">
        <v>65</v>
      </c>
      <c r="E14" s="7" t="s">
        <v>70</v>
      </c>
      <c r="F14" s="7">
        <v>29000</v>
      </c>
      <c r="G14" s="10">
        <v>32090</v>
      </c>
      <c r="H14" s="7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topLeftCell="A4" workbookViewId="0">
      <selection activeCell="G12" sqref="G12:I12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8">
        <f>Сотрудники!B8</f>
        <v>100</v>
      </c>
      <c r="C13" s="9" t="str">
        <f>Сотрудники!C8&amp;" "&amp;LEFT(Сотрудники!D8)&amp;"."</f>
        <v>Смирнова  Е.</v>
      </c>
      <c r="D13" s="8">
        <f>Сотрудники!F8</f>
        <v>125000</v>
      </c>
      <c r="E13" s="8">
        <f>IF(H13&lt;280000,(D13-I13)*0.13,D13*0.13)</f>
        <v>15496</v>
      </c>
      <c r="F13" s="9">
        <f>D13-E13</f>
        <v>109504</v>
      </c>
      <c r="G13">
        <f>Сотрудники!H8</f>
        <v>3</v>
      </c>
      <c r="H13">
        <f>$U$14*D13</f>
        <v>125000</v>
      </c>
      <c r="I13">
        <f>IF(G13&lt;3,G13*1400,2800+(G13-2)*3000)</f>
        <v>5800</v>
      </c>
      <c r="U13" t="s">
        <v>39</v>
      </c>
    </row>
    <row r="14" spans="2:21" ht="15.5" x14ac:dyDescent="0.35">
      <c r="B14" s="8">
        <f>Сотрудники!B9</f>
        <v>200</v>
      </c>
      <c r="C14" s="9" t="str">
        <f>Сотрудники!C9&amp;" "&amp;LEFT(Сотрудники!D9)&amp;"."</f>
        <v>Кузнецов  С.</v>
      </c>
      <c r="D14" s="8">
        <f>Сотрудники!F9</f>
        <v>65000</v>
      </c>
      <c r="E14" s="8">
        <f t="shared" ref="E14:E19" si="0">IF(H14&lt;280000,(D14-I14)*0.13,D14*0.13)</f>
        <v>8086</v>
      </c>
      <c r="F14" s="9">
        <f t="shared" ref="F14:F19" si="1">D14-E14</f>
        <v>56914</v>
      </c>
      <c r="G14">
        <f>Сотрудники!H9</f>
        <v>2</v>
      </c>
      <c r="H14">
        <f t="shared" ref="H14:H19" si="2">$U$14*D14</f>
        <v>65000</v>
      </c>
      <c r="I14">
        <f t="shared" ref="I14:I19" si="3">IF(G14&lt;3,G14*1400,2800+(G14-2)*3000)</f>
        <v>2800</v>
      </c>
      <c r="U14">
        <v>1</v>
      </c>
    </row>
    <row r="15" spans="2:21" ht="15.5" x14ac:dyDescent="0.35">
      <c r="B15" s="8">
        <f>Сотрудники!B10</f>
        <v>300</v>
      </c>
      <c r="C15" s="9" t="str">
        <f>Сотрудники!C10&amp;" "&amp;LEFT(Сотрудники!D10)&amp;"."</f>
        <v>Павлова Н.</v>
      </c>
      <c r="D15" s="8">
        <f>Сотрудники!F10</f>
        <v>50000</v>
      </c>
      <c r="E15" s="8">
        <f t="shared" si="0"/>
        <v>6500</v>
      </c>
      <c r="F15" s="9">
        <f t="shared" si="1"/>
        <v>43500</v>
      </c>
      <c r="G15">
        <f>Сотрудники!H10</f>
        <v>0</v>
      </c>
      <c r="H15">
        <f t="shared" si="2"/>
        <v>50000</v>
      </c>
      <c r="I15">
        <f t="shared" si="3"/>
        <v>0</v>
      </c>
    </row>
    <row r="16" spans="2:21" ht="15.5" x14ac:dyDescent="0.35">
      <c r="B16" s="8">
        <f>Сотрудники!B11</f>
        <v>400</v>
      </c>
      <c r="C16" s="9" t="str">
        <f>Сотрудники!C11&amp;" "&amp;LEFT(Сотрудники!D11)&amp;"."</f>
        <v>Федоров А.</v>
      </c>
      <c r="D16" s="8">
        <f>Сотрудники!F11</f>
        <v>40000</v>
      </c>
      <c r="E16" s="8">
        <f t="shared" si="0"/>
        <v>5018</v>
      </c>
      <c r="F16" s="9">
        <f t="shared" si="1"/>
        <v>34982</v>
      </c>
      <c r="G16">
        <f>Сотрудники!H11</f>
        <v>1</v>
      </c>
      <c r="H16">
        <f t="shared" si="2"/>
        <v>40000</v>
      </c>
      <c r="I16">
        <f t="shared" si="3"/>
        <v>1400</v>
      </c>
    </row>
    <row r="17" spans="2:9" ht="15.5" x14ac:dyDescent="0.35">
      <c r="B17" s="8">
        <f>Сотрудники!B12</f>
        <v>500</v>
      </c>
      <c r="C17" s="9" t="str">
        <f>Сотрудники!C12&amp;" "&amp;LEFT(Сотрудники!D12)&amp;"."</f>
        <v>Михайлова  Т.</v>
      </c>
      <c r="D17" s="8">
        <f>Сотрудники!F12</f>
        <v>35000</v>
      </c>
      <c r="E17" s="8">
        <f t="shared" si="0"/>
        <v>4550</v>
      </c>
      <c r="F17" s="9">
        <f t="shared" si="1"/>
        <v>30450</v>
      </c>
      <c r="G17">
        <f>Сотрудники!H12</f>
        <v>0</v>
      </c>
      <c r="H17">
        <f t="shared" si="2"/>
        <v>35000</v>
      </c>
      <c r="I17">
        <f t="shared" si="3"/>
        <v>0</v>
      </c>
    </row>
    <row r="18" spans="2:9" ht="15.5" x14ac:dyDescent="0.35">
      <c r="B18" s="8">
        <f>Сотрудники!B13</f>
        <v>600</v>
      </c>
      <c r="C18" s="9" t="str">
        <f>Сотрудники!C13&amp;" "&amp;LEFT(Сотрудники!D13)&amp;"."</f>
        <v>Григорьев В.</v>
      </c>
      <c r="D18" s="8">
        <f>Сотрудники!F13</f>
        <v>35000</v>
      </c>
      <c r="E18" s="8">
        <f t="shared" si="0"/>
        <v>4368</v>
      </c>
      <c r="F18" s="9">
        <f t="shared" si="1"/>
        <v>30632</v>
      </c>
      <c r="G18">
        <f>Сотрудники!H13</f>
        <v>1</v>
      </c>
      <c r="H18">
        <f t="shared" si="2"/>
        <v>35000</v>
      </c>
      <c r="I18">
        <f t="shared" si="3"/>
        <v>1400</v>
      </c>
    </row>
    <row r="19" spans="2:9" ht="15.5" x14ac:dyDescent="0.35">
      <c r="B19" s="8">
        <f>Сотрудники!B14</f>
        <v>700</v>
      </c>
      <c r="C19" s="9" t="str">
        <f>Сотрудники!C14&amp;" "&amp;LEFT(Сотрудники!D14)&amp;"."</f>
        <v>Борисова Ю.</v>
      </c>
      <c r="D19" s="8">
        <f>Сотрудники!F14</f>
        <v>29000</v>
      </c>
      <c r="E19" s="8">
        <f t="shared" si="0"/>
        <v>3406</v>
      </c>
      <c r="F19" s="9">
        <f t="shared" si="1"/>
        <v>25594</v>
      </c>
      <c r="G19">
        <f>Сотрудники!H14</f>
        <v>2</v>
      </c>
      <c r="H19">
        <f t="shared" si="2"/>
        <v>29000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603250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U17"/>
  <sheetViews>
    <sheetView tabSelected="1" zoomScaleNormal="100" workbookViewId="0">
      <selection activeCell="H5" sqref="H5"/>
    </sheetView>
  </sheetViews>
  <sheetFormatPr defaultRowHeight="14.5" x14ac:dyDescent="0.35"/>
  <cols>
    <col min="3" max="3" width="14.7265625" customWidth="1"/>
    <col min="4" max="4" width="11.26953125" bestFit="1" customWidth="1"/>
    <col min="7" max="7" width="36.36328125" bestFit="1" customWidth="1"/>
    <col min="8" max="8" width="25.54296875" bestFit="1" customWidth="1"/>
    <col min="10" max="10" width="20.36328125" customWidth="1"/>
    <col min="11" max="11" width="11.36328125" hidden="1" customWidth="1"/>
    <col min="12" max="12" width="20.26953125" hidden="1" customWidth="1"/>
    <col min="13" max="13" width="11.26953125" hidden="1" customWidth="1"/>
    <col min="17" max="17" width="13.81640625" customWidth="1"/>
    <col min="18" max="18" width="13.453125" customWidth="1"/>
    <col min="21" max="21" width="22.81640625" customWidth="1"/>
  </cols>
  <sheetData>
    <row r="3" spans="2:21" x14ac:dyDescent="0.35">
      <c r="B3" s="12"/>
      <c r="C3" s="12"/>
      <c r="D3" s="12"/>
      <c r="E3" s="12"/>
    </row>
    <row r="4" spans="2:21" x14ac:dyDescent="0.35">
      <c r="B4" s="12"/>
      <c r="C4" s="31" t="s">
        <v>71</v>
      </c>
      <c r="D4" s="31"/>
      <c r="E4" s="12"/>
      <c r="J4" s="7" t="s">
        <v>6</v>
      </c>
      <c r="K4" s="7" t="s">
        <v>3</v>
      </c>
      <c r="L4" s="7" t="s">
        <v>6</v>
      </c>
      <c r="M4" s="7" t="s">
        <v>3</v>
      </c>
      <c r="N4" s="7" t="s">
        <v>82</v>
      </c>
    </row>
    <row r="5" spans="2:21" ht="28.5" customHeight="1" x14ac:dyDescent="0.35">
      <c r="B5" s="12"/>
      <c r="C5" s="12"/>
      <c r="D5" s="12"/>
      <c r="E5" s="12"/>
      <c r="J5" s="2" t="s">
        <v>11</v>
      </c>
      <c r="K5" s="7">
        <v>401</v>
      </c>
      <c r="L5" s="2" t="s">
        <v>11</v>
      </c>
      <c r="M5" s="7">
        <v>301</v>
      </c>
      <c r="N5" s="18">
        <f>K5-M5</f>
        <v>100</v>
      </c>
    </row>
    <row r="6" spans="2:21" ht="30.5" customHeight="1" x14ac:dyDescent="0.35">
      <c r="B6" s="12"/>
      <c r="C6" s="13" t="s">
        <v>72</v>
      </c>
      <c r="D6" s="15">
        <v>45292</v>
      </c>
      <c r="E6" s="12"/>
      <c r="J6" s="2" t="s">
        <v>12</v>
      </c>
      <c r="K6" s="7">
        <v>322</v>
      </c>
      <c r="L6" s="2" t="s">
        <v>12</v>
      </c>
      <c r="M6" s="7">
        <v>322</v>
      </c>
      <c r="N6" s="18">
        <f t="shared" ref="N6:N10" si="0">K6-M6</f>
        <v>0</v>
      </c>
    </row>
    <row r="7" spans="2:21" ht="28.5" customHeight="1" x14ac:dyDescent="0.35">
      <c r="B7" s="12"/>
      <c r="C7" s="13" t="s">
        <v>73</v>
      </c>
      <c r="D7" s="15">
        <v>45667</v>
      </c>
      <c r="E7" s="12"/>
      <c r="J7" s="2" t="s">
        <v>15</v>
      </c>
      <c r="K7" s="7">
        <v>228</v>
      </c>
      <c r="L7" s="2" t="s">
        <v>15</v>
      </c>
      <c r="M7" s="7">
        <v>228</v>
      </c>
      <c r="N7" s="18">
        <f t="shared" si="0"/>
        <v>0</v>
      </c>
      <c r="Q7" s="12" t="s">
        <v>0</v>
      </c>
      <c r="R7" s="12" t="s">
        <v>0</v>
      </c>
    </row>
    <row r="8" spans="2:21" ht="31.5" customHeight="1" x14ac:dyDescent="0.35">
      <c r="B8" s="12"/>
      <c r="C8" s="12"/>
      <c r="D8" s="12"/>
      <c r="E8" s="12"/>
      <c r="J8" s="2" t="s">
        <v>13</v>
      </c>
      <c r="K8" s="7">
        <v>304</v>
      </c>
      <c r="L8" s="2" t="s">
        <v>13</v>
      </c>
      <c r="M8" s="7">
        <v>304</v>
      </c>
      <c r="N8" s="18">
        <f t="shared" si="0"/>
        <v>0</v>
      </c>
      <c r="Q8" s="8" t="str">
        <f>"&gt;="&amp;D6</f>
        <v>&gt;=45292</v>
      </c>
      <c r="R8" s="8" t="str">
        <f>"&lt;="&amp;D7</f>
        <v>&lt;=45667</v>
      </c>
    </row>
    <row r="9" spans="2:21" ht="28" customHeight="1" x14ac:dyDescent="0.35">
      <c r="J9" s="2" t="s">
        <v>14</v>
      </c>
      <c r="K9" s="7">
        <v>214</v>
      </c>
      <c r="L9" s="2" t="s">
        <v>14</v>
      </c>
      <c r="M9" s="7">
        <v>214</v>
      </c>
      <c r="N9" s="18">
        <f t="shared" si="0"/>
        <v>0</v>
      </c>
    </row>
    <row r="10" spans="2:21" ht="27.5" customHeight="1" x14ac:dyDescent="0.35">
      <c r="B10" s="12"/>
      <c r="C10" s="12"/>
      <c r="D10" s="12"/>
      <c r="E10" s="12"/>
      <c r="G10" s="16" t="s">
        <v>79</v>
      </c>
      <c r="H10" t="s">
        <v>81</v>
      </c>
      <c r="J10" s="2" t="s">
        <v>16</v>
      </c>
      <c r="K10" s="7">
        <v>331</v>
      </c>
      <c r="L10" s="2" t="s">
        <v>16</v>
      </c>
      <c r="M10" s="7">
        <v>316</v>
      </c>
      <c r="N10" s="18">
        <f t="shared" si="0"/>
        <v>15</v>
      </c>
    </row>
    <row r="11" spans="2:21" x14ac:dyDescent="0.35">
      <c r="B11" s="12"/>
      <c r="C11" s="13" t="s">
        <v>74</v>
      </c>
      <c r="D11" s="14">
        <f>DSUM(Данные_продаж,Продажи!H11,Q7:R8)</f>
        <v>5777480</v>
      </c>
      <c r="E11" s="12"/>
      <c r="G11" s="17" t="s">
        <v>15</v>
      </c>
      <c r="H11" s="1">
        <v>228</v>
      </c>
      <c r="U11" t="s">
        <v>75</v>
      </c>
    </row>
    <row r="12" spans="2:21" x14ac:dyDescent="0.35">
      <c r="B12" s="12"/>
      <c r="C12" s="12"/>
      <c r="D12" s="12"/>
      <c r="E12" s="12"/>
      <c r="G12" s="17" t="s">
        <v>13</v>
      </c>
      <c r="H12" s="1">
        <v>304</v>
      </c>
      <c r="U12" t="s">
        <v>76</v>
      </c>
    </row>
    <row r="13" spans="2:21" x14ac:dyDescent="0.35">
      <c r="B13" s="12"/>
      <c r="C13" s="12"/>
      <c r="D13" s="12"/>
      <c r="E13" s="12"/>
      <c r="G13" s="17" t="s">
        <v>12</v>
      </c>
      <c r="H13" s="1">
        <v>322</v>
      </c>
      <c r="U13" t="s">
        <v>77</v>
      </c>
    </row>
    <row r="14" spans="2:21" x14ac:dyDescent="0.35">
      <c r="B14" s="12"/>
      <c r="C14" s="12"/>
      <c r="D14" s="12"/>
      <c r="E14" s="12"/>
      <c r="G14" s="17" t="s">
        <v>11</v>
      </c>
      <c r="H14" s="1">
        <v>301</v>
      </c>
      <c r="U14" t="s">
        <v>78</v>
      </c>
    </row>
    <row r="15" spans="2:21" x14ac:dyDescent="0.35">
      <c r="G15" s="17" t="s">
        <v>14</v>
      </c>
      <c r="H15" s="1">
        <v>214</v>
      </c>
      <c r="U15">
        <v>1</v>
      </c>
    </row>
    <row r="16" spans="2:21" x14ac:dyDescent="0.35">
      <c r="G16" s="17" t="s">
        <v>16</v>
      </c>
      <c r="H16" s="1">
        <v>316</v>
      </c>
    </row>
    <row r="17" spans="7:8" x14ac:dyDescent="0.35">
      <c r="G17" s="17" t="s">
        <v>80</v>
      </c>
      <c r="H17" s="1">
        <v>1685</v>
      </c>
    </row>
  </sheetData>
  <dataConsolidate leftLabels="1" topLabels="1">
    <dataRefs count="1">
      <dataRef name="Продажа"/>
    </dataRefs>
  </dataConsolidate>
  <mergeCells count="1">
    <mergeCell ref="C4:D4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202" r:id="rId5" name="CommandButton3">
          <controlPr defaultSize="0" autoLine="0" autoPict="0" r:id="rId6">
            <anchor moveWithCells="1">
              <from>
                <xdr:col>7</xdr:col>
                <xdr:colOff>0</xdr:colOff>
                <xdr:row>6</xdr:row>
                <xdr:rowOff>349250</xdr:rowOff>
              </from>
              <to>
                <xdr:col>8</xdr:col>
                <xdr:colOff>19050</xdr:colOff>
                <xdr:row>8</xdr:row>
                <xdr:rowOff>6350</xdr:rowOff>
              </to>
            </anchor>
          </controlPr>
        </control>
      </mc:Choice>
      <mc:Fallback>
        <control shapeId="8202" r:id="rId5" name="CommandButton3"/>
      </mc:Fallback>
    </mc:AlternateContent>
    <mc:AlternateContent xmlns:mc="http://schemas.openxmlformats.org/markup-compatibility/2006">
      <mc:Choice Requires="x14">
        <control shapeId="8201" r:id="rId7" name="CommandButton2">
          <controlPr defaultSize="0" disabled="1" autoLine="0" autoPict="0" r:id="rId8">
            <anchor moveWithCells="1">
              <from>
                <xdr:col>5</xdr:col>
                <xdr:colOff>603250</xdr:colOff>
                <xdr:row>7</xdr:row>
                <xdr:rowOff>6350</xdr:rowOff>
              </from>
              <to>
                <xdr:col>6</xdr:col>
                <xdr:colOff>1790700</xdr:colOff>
                <xdr:row>8</xdr:row>
                <xdr:rowOff>6350</xdr:rowOff>
              </to>
            </anchor>
          </controlPr>
        </control>
      </mc:Choice>
      <mc:Fallback>
        <control shapeId="8201" r:id="rId7" name="CommandButton2"/>
      </mc:Fallback>
    </mc:AlternateContent>
    <mc:AlternateContent xmlns:mc="http://schemas.openxmlformats.org/markup-compatibility/2006">
      <mc:Choice Requires="x14">
        <control shapeId="8193" r:id="rId9" name="CommandButton1">
          <controlPr defaultSize="0" autoLine="0" r:id="rId10">
            <anchor moveWithCells="1">
              <from>
                <xdr:col>6</xdr:col>
                <xdr:colOff>0</xdr:colOff>
                <xdr:row>0</xdr:row>
                <xdr:rowOff>171450</xdr:rowOff>
              </from>
              <to>
                <xdr:col>6</xdr:col>
                <xdr:colOff>1828800</xdr:colOff>
                <xdr:row>2</xdr:row>
                <xdr:rowOff>177800</xdr:rowOff>
              </to>
            </anchor>
          </controlPr>
        </control>
      </mc:Choice>
      <mc:Fallback>
        <control shapeId="8193" r:id="rId9" name="CommandButton1"/>
      </mc:Fallback>
    </mc:AlternateContent>
    <mc:AlternateContent xmlns:mc="http://schemas.openxmlformats.org/markup-compatibility/2006">
      <mc:Choice Requires="x14">
        <control shapeId="8194" r:id="rId11" name="Drop Down 2">
          <controlPr defaultSize="0" autoLine="0" autoPict="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10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2" name="Button 3">
          <controlPr defaultSize="0" print="0" autoFill="0" autoPict="0" macro="[0]!Рассчитать">
            <anchor moveWithCells="1" sizeWithCells="1">
              <from>
                <xdr:col>2</xdr:col>
                <xdr:colOff>222250</xdr:colOff>
                <xdr:row>12</xdr:row>
                <xdr:rowOff>0</xdr:rowOff>
              </from>
              <to>
                <xdr:col>3</xdr:col>
                <xdr:colOff>469900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3" name="Button 7">
          <controlPr defaultSize="0" print="0" autoFill="0" autoPict="0" macro="[0]!Остатки">
            <anchor moveWithCells="1" sizeWithCells="1">
              <from>
                <xdr:col>8</xdr:col>
                <xdr:colOff>596900</xdr:colOff>
                <xdr:row>0</xdr:row>
                <xdr:rowOff>177800</xdr:rowOff>
              </from>
              <to>
                <xdr:col>10</xdr:col>
                <xdr:colOff>158750</xdr:colOff>
                <xdr:row>2</xdr:row>
                <xdr:rowOff>95250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7</vt:i4>
      </vt:variant>
    </vt:vector>
  </HeadingPairs>
  <TitlesOfParts>
    <vt:vector size="17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Данные_поставок</vt:lpstr>
      <vt:lpstr>Данные_продаж</vt:lpstr>
      <vt:lpstr>Продажи!Критерии</vt:lpstr>
      <vt:lpstr>Поставка</vt:lpstr>
      <vt:lpstr>Продажа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2025-05-21T09:30:49Z</dcterms:modified>
</cp:coreProperties>
</file>